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5c6b4dcd2a33d/ドキュメント/"/>
    </mc:Choice>
  </mc:AlternateContent>
  <xr:revisionPtr revIDLastSave="1033" documentId="8_{DFF0222D-5771-448D-B6A3-1DCDC6A5A2D4}" xr6:coauthVersionLast="47" xr6:coauthVersionMax="47" xr10:uidLastSave="{EDD6C57E-05D5-499A-A0A5-CA125C71B70F}"/>
  <bookViews>
    <workbookView xWindow="-108" yWindow="-108" windowWidth="23256" windowHeight="12456" tabRatio="1000" activeTab="3" xr2:uid="{87705B6A-732E-4D65-B413-E86665707F82}"/>
  </bookViews>
  <sheets>
    <sheet name="Financial_Data" sheetId="21" r:id="rId1"/>
    <sheet name="Charts_Dashboard" sheetId="27" r:id="rId2"/>
    <sheet name="Gym_data" sheetId="2" r:id="rId3"/>
    <sheet name="Member_Summary" sheetId="4" r:id="rId4"/>
    <sheet name="Member_Master" sheetId="25" r:id="rId5"/>
    <sheet name="Pivot_Data" sheetId="28" r:id="rId6"/>
  </sheets>
  <definedNames>
    <definedName name="_xlnm._FilterDatabase" localSheetId="2" hidden="1">Gym_data!$A$3:$K$380</definedName>
    <definedName name="_xlnm._FilterDatabase" localSheetId="3" hidden="1">Member_Summary!$L$3:$L$204</definedName>
    <definedName name="_xlcn.WorksheetConnection_Gym_dataA1K3781" hidden="1">Gym_data!$A$3:$K$380</definedName>
  </definedNames>
  <calcPr calcId="191029"/>
  <pivotCaches>
    <pivotCache cacheId="13" r:id="rId7"/>
    <pivotCache cacheId="14" r:id="rId8"/>
    <pivotCache cacheId="15" r:id="rId9"/>
    <pivotCache cacheId="16" r:id="rId10"/>
    <pivotCache cacheId="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Gym_data!$A$1:$K$378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Month_Start_Date" columnId="Month_Start_Date">
                <x16:calculatedTimeColumn columnName="Month_Start_Date (Month Index)" columnId="Month_Start_Date (Month Index)" contentType="monthsindex" isSelected="1"/>
                <x16:calculatedTimeColumn columnName="Month_Start_Date (Month)" columnId="Month_Star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1" l="1"/>
  <c r="H4" i="21"/>
  <c r="H5" i="21"/>
  <c r="H6" i="21"/>
  <c r="H7" i="21"/>
  <c r="H8" i="21"/>
  <c r="H9" i="21"/>
  <c r="F10" i="21"/>
  <c r="D10" i="21"/>
  <c r="C10" i="21"/>
  <c r="B10" i="21"/>
  <c r="C344" i="2"/>
  <c r="C279" i="2"/>
  <c r="C317" i="2"/>
  <c r="C20" i="2"/>
  <c r="C101" i="2"/>
  <c r="C154" i="2"/>
  <c r="C67" i="2"/>
  <c r="C367" i="2"/>
  <c r="C345" i="2"/>
  <c r="C208" i="2"/>
  <c r="C280" i="2"/>
  <c r="C372" i="2"/>
  <c r="C132" i="2"/>
  <c r="C332" i="2"/>
  <c r="C188" i="2"/>
  <c r="C136" i="2"/>
  <c r="C72" i="2"/>
  <c r="C21" i="2"/>
  <c r="C142" i="2"/>
  <c r="C197" i="2"/>
  <c r="C47" i="2"/>
  <c r="C300" i="2"/>
  <c r="C346" i="2"/>
  <c r="C90" i="2"/>
  <c r="C37" i="2"/>
  <c r="C173" i="2"/>
  <c r="C116" i="2"/>
  <c r="C309" i="2"/>
  <c r="C250" i="2"/>
  <c r="C171" i="2"/>
  <c r="C117" i="2"/>
  <c r="C41" i="2"/>
  <c r="C121" i="2"/>
  <c r="C155" i="2"/>
  <c r="C347" i="2"/>
  <c r="C307" i="2"/>
  <c r="C313" i="2"/>
  <c r="C130" i="2"/>
  <c r="C60" i="2"/>
  <c r="C174" i="2"/>
  <c r="C314" i="2"/>
  <c r="C105" i="2"/>
  <c r="C48" i="2"/>
  <c r="C28" i="2"/>
  <c r="C106" i="2"/>
  <c r="C306" i="2"/>
  <c r="C77" i="2"/>
  <c r="C169" i="2"/>
  <c r="C161" i="2"/>
  <c r="C252" i="2"/>
  <c r="C102" i="2"/>
  <c r="C29" i="2"/>
  <c r="C165" i="2"/>
  <c r="C61" i="2"/>
  <c r="C191" i="2"/>
  <c r="C333" i="2"/>
  <c r="C91" i="2"/>
  <c r="C156" i="2"/>
  <c r="C30" i="2"/>
  <c r="C291" i="2"/>
  <c r="C8" i="2"/>
  <c r="C73" i="2"/>
  <c r="C267" i="2"/>
  <c r="C234" i="2"/>
  <c r="C23" i="2"/>
  <c r="C151" i="2"/>
  <c r="C348" i="2"/>
  <c r="C288" i="2"/>
  <c r="C79" i="2"/>
  <c r="C230" i="2"/>
  <c r="C92" i="2"/>
  <c r="C334" i="2"/>
  <c r="C323" i="2"/>
  <c r="C231" i="2"/>
  <c r="C157" i="2"/>
  <c r="C292" i="2"/>
  <c r="C366" i="2"/>
  <c r="C232" i="2"/>
  <c r="C31" i="2"/>
  <c r="C175" i="2"/>
  <c r="C304" i="2"/>
  <c r="C192" i="2"/>
  <c r="C152" i="2"/>
  <c r="C80" i="2"/>
  <c r="C335" i="2"/>
  <c r="C301" i="2"/>
  <c r="C4" i="2"/>
  <c r="C81" i="2"/>
  <c r="C9" i="2"/>
  <c r="C235" i="2"/>
  <c r="C246" i="2"/>
  <c r="C261" i="2"/>
  <c r="C205" i="2"/>
  <c r="C62" i="2"/>
  <c r="C133" i="2"/>
  <c r="C158" i="2"/>
  <c r="C107" i="2"/>
  <c r="C214" i="2"/>
  <c r="C274" i="2"/>
  <c r="C349" i="2"/>
  <c r="C166" i="2"/>
  <c r="C82" i="2"/>
  <c r="C93" i="2"/>
  <c r="C237" i="2"/>
  <c r="C305" i="2"/>
  <c r="C203" i="2"/>
  <c r="C32" i="2"/>
  <c r="C68" i="2"/>
  <c r="C268" i="2"/>
  <c r="C329" i="2"/>
  <c r="C253" i="2"/>
  <c r="C238" i="2"/>
  <c r="C206" i="2"/>
  <c r="C358" i="2"/>
  <c r="C251" i="2"/>
  <c r="C324" i="2"/>
  <c r="C51" i="2"/>
  <c r="C336" i="2"/>
  <c r="C189" i="2"/>
  <c r="C108" i="2"/>
  <c r="C14" i="2"/>
  <c r="C350" i="2"/>
  <c r="C170" i="2"/>
  <c r="C222" i="2"/>
  <c r="C83" i="2"/>
  <c r="C295" i="2"/>
  <c r="C209" i="2"/>
  <c r="C38" i="2"/>
  <c r="C184" i="2"/>
  <c r="C249" i="2"/>
  <c r="C318" i="2"/>
  <c r="C236" i="2"/>
  <c r="C7" i="2"/>
  <c r="C137" i="2"/>
  <c r="C74" i="2"/>
  <c r="C269" i="2"/>
  <c r="C351" i="2"/>
  <c r="C210" i="2"/>
  <c r="C285" i="2"/>
  <c r="C357" i="2"/>
  <c r="C84" i="2"/>
  <c r="C181" i="2"/>
  <c r="C242" i="2"/>
  <c r="C143" i="2"/>
  <c r="C207" i="2"/>
  <c r="C270" i="2"/>
  <c r="C172" i="2"/>
  <c r="C363" i="2"/>
  <c r="C271" i="2"/>
  <c r="C27" i="2"/>
  <c r="C225" i="2"/>
  <c r="C122" i="2"/>
  <c r="C319" i="2"/>
  <c r="C337" i="2"/>
  <c r="C227" i="2"/>
  <c r="C109" i="2"/>
  <c r="C198" i="2"/>
  <c r="C78" i="2"/>
  <c r="C24" i="2"/>
  <c r="C281" i="2"/>
  <c r="C364" i="2"/>
  <c r="C159" i="2"/>
  <c r="C289" i="2"/>
  <c r="C220" i="2"/>
  <c r="C378" i="2"/>
  <c r="C193" i="2"/>
  <c r="C254" i="2"/>
  <c r="C139" i="2"/>
  <c r="C10" i="2"/>
  <c r="C338" i="2"/>
  <c r="C69" i="2"/>
  <c r="C226" i="2"/>
  <c r="C144" i="2"/>
  <c r="C199" i="2"/>
  <c r="C352" i="2"/>
  <c r="C275" i="2"/>
  <c r="C124" i="2"/>
  <c r="C239" i="2"/>
  <c r="C45" i="2"/>
  <c r="C110" i="2"/>
  <c r="C339" i="2"/>
  <c r="C15" i="2"/>
  <c r="C286" i="2"/>
  <c r="C85" i="2"/>
  <c r="C185" i="2"/>
  <c r="C200" i="2"/>
  <c r="C368" i="2"/>
  <c r="C58" i="2"/>
  <c r="C353" i="2"/>
  <c r="C201" i="2"/>
  <c r="C228" i="2"/>
  <c r="C229" i="2"/>
  <c r="C276" i="2"/>
  <c r="C325" i="2"/>
  <c r="C162" i="2"/>
  <c r="C16" i="2"/>
  <c r="C111" i="2"/>
  <c r="C17" i="2"/>
  <c r="C215" i="2"/>
  <c r="C282" i="2"/>
  <c r="C11" i="2"/>
  <c r="C131" i="2"/>
  <c r="C287" i="2"/>
  <c r="C369" i="2"/>
  <c r="C310" i="2"/>
  <c r="C49" i="2"/>
  <c r="C182" i="2"/>
  <c r="C240" i="2"/>
  <c r="C211" i="2"/>
  <c r="C302" i="2"/>
  <c r="C86" i="2"/>
  <c r="C293" i="2"/>
  <c r="C321" i="2"/>
  <c r="C76" i="2"/>
  <c r="C354" i="2"/>
  <c r="C22" i="2"/>
  <c r="C223" i="2"/>
  <c r="C299" i="2"/>
  <c r="C56" i="2"/>
  <c r="C12" i="2"/>
  <c r="C75" i="2"/>
  <c r="C202" i="2"/>
  <c r="C147" i="2"/>
  <c r="C272" i="2"/>
  <c r="C247" i="2"/>
  <c r="C340" i="2"/>
  <c r="C148" i="2"/>
  <c r="C296" i="2"/>
  <c r="C94" i="2"/>
  <c r="C53" i="2"/>
  <c r="C145" i="2"/>
  <c r="C18" i="2"/>
  <c r="C216" i="2"/>
  <c r="C370" i="2"/>
  <c r="C341" i="2"/>
  <c r="C95" i="2"/>
  <c r="C163" i="2"/>
  <c r="C52" i="2"/>
  <c r="C112" i="2"/>
  <c r="C5" i="2"/>
  <c r="C164" i="2"/>
  <c r="C290" i="2"/>
  <c r="C373" i="2"/>
  <c r="C63" i="2"/>
  <c r="C243" i="2"/>
  <c r="C311" i="2"/>
  <c r="C365" i="2"/>
  <c r="C186" i="2"/>
  <c r="C187" i="2"/>
  <c r="C126" i="2"/>
  <c r="C330" i="2"/>
  <c r="C248" i="2"/>
  <c r="C42" i="2"/>
  <c r="C326" i="2"/>
  <c r="C33" i="2"/>
  <c r="C50" i="2"/>
  <c r="C127" i="2"/>
  <c r="C322" i="2"/>
  <c r="C34" i="2"/>
  <c r="C125" i="2"/>
  <c r="C153" i="2"/>
  <c r="C255" i="2"/>
  <c r="C103" i="2"/>
  <c r="C35" i="2"/>
  <c r="C167" i="2"/>
  <c r="C113" i="2"/>
  <c r="C359" i="2"/>
  <c r="C342" i="2"/>
  <c r="C40" i="2"/>
  <c r="C283" i="2"/>
  <c r="C360" i="2"/>
  <c r="C294" i="2"/>
  <c r="C312" i="2"/>
  <c r="C379" i="2"/>
  <c r="C176" i="2"/>
  <c r="C54" i="2"/>
  <c r="C178" i="2"/>
  <c r="C244" i="2"/>
  <c r="C204" i="2"/>
  <c r="C128" i="2"/>
  <c r="C43" i="2"/>
  <c r="C87" i="2"/>
  <c r="C361" i="2"/>
  <c r="C256" i="2"/>
  <c r="C123" i="2"/>
  <c r="C13" i="2"/>
  <c r="C96" i="2"/>
  <c r="C70" i="2"/>
  <c r="C233" i="2"/>
  <c r="C277" i="2"/>
  <c r="C327" i="2"/>
  <c r="C39" i="2"/>
  <c r="C179" i="2"/>
  <c r="C114" i="2"/>
  <c r="C217" i="2"/>
  <c r="C257" i="2"/>
  <c r="C258" i="2"/>
  <c r="C59" i="2"/>
  <c r="C328" i="2"/>
  <c r="C71" i="2"/>
  <c r="C190" i="2"/>
  <c r="C25" i="2"/>
  <c r="C168" i="2"/>
  <c r="C115" i="2"/>
  <c r="C371" i="2"/>
  <c r="C308" i="2"/>
  <c r="C224" i="2"/>
  <c r="C303" i="2"/>
  <c r="C374" i="2"/>
  <c r="C259" i="2"/>
  <c r="C260" i="2"/>
  <c r="C331" i="2"/>
  <c r="C134" i="2"/>
  <c r="C160" i="2"/>
  <c r="C297" i="2"/>
  <c r="C263" i="2"/>
  <c r="C320" i="2"/>
  <c r="C362" i="2"/>
  <c r="C46" i="2"/>
  <c r="C97" i="2"/>
  <c r="C380" i="2"/>
  <c r="C245" i="2"/>
  <c r="C44" i="2"/>
  <c r="C298" i="2"/>
  <c r="C221" i="2"/>
  <c r="C88" i="2"/>
  <c r="C375" i="2"/>
  <c r="C149" i="2"/>
  <c r="C6" i="2"/>
  <c r="C146" i="2"/>
  <c r="C183" i="2"/>
  <c r="C376" i="2"/>
  <c r="C241" i="2"/>
  <c r="C118" i="2"/>
  <c r="C315" i="2"/>
  <c r="C212" i="2"/>
  <c r="C89" i="2"/>
  <c r="C135" i="2"/>
  <c r="C264" i="2"/>
  <c r="C218" i="2"/>
  <c r="C119" i="2"/>
  <c r="C150" i="2"/>
  <c r="C219" i="2"/>
  <c r="C98" i="2"/>
  <c r="C129" i="2"/>
  <c r="C140" i="2"/>
  <c r="C213" i="2"/>
  <c r="C377" i="2"/>
  <c r="C120" i="2"/>
  <c r="C64" i="2"/>
  <c r="C278" i="2"/>
  <c r="C57" i="2"/>
  <c r="C343" i="2"/>
  <c r="C55" i="2"/>
  <c r="C194" i="2"/>
  <c r="C262" i="2"/>
  <c r="C99" i="2"/>
  <c r="C36" i="2"/>
  <c r="C104" i="2"/>
  <c r="C141" i="2"/>
  <c r="C65" i="2"/>
  <c r="C316" i="2"/>
  <c r="C273" i="2"/>
  <c r="C195" i="2"/>
  <c r="C26" i="2"/>
  <c r="C100" i="2"/>
  <c r="C284" i="2"/>
  <c r="C356" i="2"/>
  <c r="C265" i="2"/>
  <c r="C19" i="2"/>
  <c r="C355" i="2"/>
  <c r="C180" i="2"/>
  <c r="C138" i="2"/>
  <c r="C66" i="2"/>
  <c r="C177" i="2"/>
  <c r="C196" i="2"/>
  <c r="C266" i="2"/>
  <c r="E8" i="21"/>
  <c r="G8" i="21" s="1"/>
  <c r="E9" i="21"/>
  <c r="G9" i="21" s="1"/>
  <c r="E7" i="21"/>
  <c r="G7" i="21" s="1"/>
  <c r="E6" i="21"/>
  <c r="G6" i="21" s="1"/>
  <c r="E5" i="21"/>
  <c r="G5" i="21" s="1"/>
  <c r="E4" i="21"/>
  <c r="B4" i="4" l="1"/>
  <c r="G4" i="21"/>
  <c r="G10" i="21"/>
  <c r="H10" i="21" s="1"/>
  <c r="F344" i="2"/>
  <c r="J344" i="2" s="1"/>
  <c r="K344" i="2" s="1"/>
  <c r="F279" i="2"/>
  <c r="J279" i="2" s="1"/>
  <c r="K279" i="2" s="1"/>
  <c r="F317" i="2"/>
  <c r="J317" i="2" s="1"/>
  <c r="K317" i="2" s="1"/>
  <c r="F20" i="2"/>
  <c r="J20" i="2" s="1"/>
  <c r="K20" i="2" s="1"/>
  <c r="F101" i="2"/>
  <c r="J101" i="2" s="1"/>
  <c r="K101" i="2" s="1"/>
  <c r="F154" i="2"/>
  <c r="J154" i="2" s="1"/>
  <c r="K154" i="2" s="1"/>
  <c r="F67" i="2"/>
  <c r="J67" i="2" s="1"/>
  <c r="K67" i="2" s="1"/>
  <c r="F367" i="2"/>
  <c r="J367" i="2" s="1"/>
  <c r="K367" i="2" s="1"/>
  <c r="F345" i="2"/>
  <c r="J345" i="2" s="1"/>
  <c r="K345" i="2" s="1"/>
  <c r="F208" i="2"/>
  <c r="J208" i="2" s="1"/>
  <c r="K208" i="2" s="1"/>
  <c r="F280" i="2"/>
  <c r="J280" i="2" s="1"/>
  <c r="K280" i="2" s="1"/>
  <c r="F372" i="2"/>
  <c r="J372" i="2" s="1"/>
  <c r="K372" i="2" s="1"/>
  <c r="F132" i="2"/>
  <c r="J132" i="2" s="1"/>
  <c r="K132" i="2" s="1"/>
  <c r="F332" i="2"/>
  <c r="J332" i="2" s="1"/>
  <c r="K332" i="2" s="1"/>
  <c r="F188" i="2"/>
  <c r="J188" i="2" s="1"/>
  <c r="K188" i="2" s="1"/>
  <c r="F136" i="2"/>
  <c r="J136" i="2" s="1"/>
  <c r="K136" i="2" s="1"/>
  <c r="F72" i="2"/>
  <c r="J72" i="2" s="1"/>
  <c r="K72" i="2" s="1"/>
  <c r="F21" i="2"/>
  <c r="J21" i="2" s="1"/>
  <c r="K21" i="2" s="1"/>
  <c r="F142" i="2"/>
  <c r="J142" i="2" s="1"/>
  <c r="K142" i="2" s="1"/>
  <c r="F197" i="2"/>
  <c r="J197" i="2" s="1"/>
  <c r="K197" i="2" s="1"/>
  <c r="F47" i="2"/>
  <c r="J47" i="2" s="1"/>
  <c r="K47" i="2" s="1"/>
  <c r="F300" i="2"/>
  <c r="J300" i="2" s="1"/>
  <c r="K300" i="2" s="1"/>
  <c r="F346" i="2"/>
  <c r="J346" i="2" s="1"/>
  <c r="K346" i="2" s="1"/>
  <c r="F90" i="2"/>
  <c r="J90" i="2" s="1"/>
  <c r="K90" i="2" s="1"/>
  <c r="F37" i="2"/>
  <c r="J37" i="2" s="1"/>
  <c r="K37" i="2" s="1"/>
  <c r="F173" i="2"/>
  <c r="J173" i="2" s="1"/>
  <c r="K173" i="2" s="1"/>
  <c r="F116" i="2"/>
  <c r="J116" i="2" s="1"/>
  <c r="K116" i="2" s="1"/>
  <c r="F309" i="2"/>
  <c r="J309" i="2" s="1"/>
  <c r="K309" i="2" s="1"/>
  <c r="F250" i="2"/>
  <c r="J250" i="2" s="1"/>
  <c r="K250" i="2" s="1"/>
  <c r="F171" i="2"/>
  <c r="J171" i="2" s="1"/>
  <c r="K171" i="2" s="1"/>
  <c r="F117" i="2"/>
  <c r="J117" i="2" s="1"/>
  <c r="K117" i="2" s="1"/>
  <c r="F41" i="2"/>
  <c r="J41" i="2" s="1"/>
  <c r="K41" i="2" s="1"/>
  <c r="F121" i="2"/>
  <c r="J121" i="2" s="1"/>
  <c r="K121" i="2" s="1"/>
  <c r="F155" i="2"/>
  <c r="J155" i="2" s="1"/>
  <c r="K155" i="2" s="1"/>
  <c r="F347" i="2"/>
  <c r="J347" i="2" s="1"/>
  <c r="K347" i="2" s="1"/>
  <c r="F307" i="2"/>
  <c r="J307" i="2" s="1"/>
  <c r="K307" i="2" s="1"/>
  <c r="F313" i="2"/>
  <c r="J313" i="2" s="1"/>
  <c r="K313" i="2" s="1"/>
  <c r="F130" i="2"/>
  <c r="J130" i="2" s="1"/>
  <c r="K130" i="2" s="1"/>
  <c r="F60" i="2"/>
  <c r="J60" i="2" s="1"/>
  <c r="K60" i="2" s="1"/>
  <c r="F174" i="2"/>
  <c r="J174" i="2" s="1"/>
  <c r="K174" i="2" s="1"/>
  <c r="F314" i="2"/>
  <c r="J314" i="2" s="1"/>
  <c r="K314" i="2" s="1"/>
  <c r="F105" i="2"/>
  <c r="J105" i="2" s="1"/>
  <c r="K105" i="2" s="1"/>
  <c r="F48" i="2"/>
  <c r="J48" i="2" s="1"/>
  <c r="K48" i="2" s="1"/>
  <c r="F28" i="2"/>
  <c r="J28" i="2" s="1"/>
  <c r="K28" i="2" s="1"/>
  <c r="F106" i="2"/>
  <c r="J106" i="2" s="1"/>
  <c r="K106" i="2" s="1"/>
  <c r="F306" i="2"/>
  <c r="J306" i="2" s="1"/>
  <c r="K306" i="2" s="1"/>
  <c r="F77" i="2"/>
  <c r="J77" i="2" s="1"/>
  <c r="K77" i="2" s="1"/>
  <c r="F169" i="2"/>
  <c r="J169" i="2" s="1"/>
  <c r="K169" i="2" s="1"/>
  <c r="F161" i="2"/>
  <c r="J161" i="2" s="1"/>
  <c r="K161" i="2" s="1"/>
  <c r="F252" i="2"/>
  <c r="J252" i="2" s="1"/>
  <c r="K252" i="2" s="1"/>
  <c r="F102" i="2"/>
  <c r="J102" i="2" s="1"/>
  <c r="K102" i="2" s="1"/>
  <c r="F29" i="2"/>
  <c r="J29" i="2" s="1"/>
  <c r="K29" i="2" s="1"/>
  <c r="F165" i="2"/>
  <c r="J165" i="2" s="1"/>
  <c r="K165" i="2" s="1"/>
  <c r="F61" i="2"/>
  <c r="J61" i="2" s="1"/>
  <c r="K61" i="2" s="1"/>
  <c r="F191" i="2"/>
  <c r="J191" i="2" s="1"/>
  <c r="K191" i="2" s="1"/>
  <c r="F333" i="2"/>
  <c r="J333" i="2" s="1"/>
  <c r="K333" i="2" s="1"/>
  <c r="F91" i="2"/>
  <c r="J91" i="2" s="1"/>
  <c r="K91" i="2" s="1"/>
  <c r="F156" i="2"/>
  <c r="J156" i="2" s="1"/>
  <c r="K156" i="2" s="1"/>
  <c r="F30" i="2"/>
  <c r="J30" i="2" s="1"/>
  <c r="K30" i="2" s="1"/>
  <c r="F291" i="2"/>
  <c r="J291" i="2" s="1"/>
  <c r="K291" i="2" s="1"/>
  <c r="F8" i="2"/>
  <c r="J8" i="2" s="1"/>
  <c r="K8" i="2" s="1"/>
  <c r="F73" i="2"/>
  <c r="J73" i="2" s="1"/>
  <c r="K73" i="2" s="1"/>
  <c r="F267" i="2"/>
  <c r="J267" i="2" s="1"/>
  <c r="K267" i="2" s="1"/>
  <c r="F234" i="2"/>
  <c r="J234" i="2" s="1"/>
  <c r="K234" i="2" s="1"/>
  <c r="F23" i="2"/>
  <c r="J23" i="2" s="1"/>
  <c r="K23" i="2" s="1"/>
  <c r="F151" i="2"/>
  <c r="J151" i="2" s="1"/>
  <c r="K151" i="2" s="1"/>
  <c r="F348" i="2"/>
  <c r="J348" i="2" s="1"/>
  <c r="K348" i="2" s="1"/>
  <c r="F288" i="2"/>
  <c r="J288" i="2" s="1"/>
  <c r="K288" i="2" s="1"/>
  <c r="F79" i="2"/>
  <c r="J79" i="2" s="1"/>
  <c r="K79" i="2" s="1"/>
  <c r="F230" i="2"/>
  <c r="J230" i="2" s="1"/>
  <c r="K230" i="2" s="1"/>
  <c r="F92" i="2"/>
  <c r="J92" i="2" s="1"/>
  <c r="K92" i="2" s="1"/>
  <c r="F334" i="2"/>
  <c r="J334" i="2" s="1"/>
  <c r="K334" i="2" s="1"/>
  <c r="F323" i="2"/>
  <c r="J323" i="2" s="1"/>
  <c r="K323" i="2" s="1"/>
  <c r="F231" i="2"/>
  <c r="J231" i="2" s="1"/>
  <c r="K231" i="2" s="1"/>
  <c r="F157" i="2"/>
  <c r="J157" i="2" s="1"/>
  <c r="K157" i="2" s="1"/>
  <c r="F292" i="2"/>
  <c r="J292" i="2" s="1"/>
  <c r="K292" i="2" s="1"/>
  <c r="F366" i="2"/>
  <c r="J366" i="2" s="1"/>
  <c r="K366" i="2" s="1"/>
  <c r="F232" i="2"/>
  <c r="J232" i="2" s="1"/>
  <c r="K232" i="2" s="1"/>
  <c r="F31" i="2"/>
  <c r="J31" i="2" s="1"/>
  <c r="K31" i="2" s="1"/>
  <c r="F175" i="2"/>
  <c r="J175" i="2" s="1"/>
  <c r="K175" i="2" s="1"/>
  <c r="F304" i="2"/>
  <c r="J304" i="2" s="1"/>
  <c r="K304" i="2" s="1"/>
  <c r="F192" i="2"/>
  <c r="J192" i="2" s="1"/>
  <c r="K192" i="2" s="1"/>
  <c r="F152" i="2"/>
  <c r="J152" i="2" s="1"/>
  <c r="K152" i="2" s="1"/>
  <c r="F80" i="2"/>
  <c r="J80" i="2" s="1"/>
  <c r="K80" i="2" s="1"/>
  <c r="F335" i="2"/>
  <c r="J335" i="2" s="1"/>
  <c r="K335" i="2" s="1"/>
  <c r="F301" i="2"/>
  <c r="J301" i="2" s="1"/>
  <c r="K301" i="2" s="1"/>
  <c r="F4" i="2"/>
  <c r="J4" i="2" s="1"/>
  <c r="K4" i="2" s="1"/>
  <c r="F81" i="2"/>
  <c r="J81" i="2" s="1"/>
  <c r="K81" i="2" s="1"/>
  <c r="F9" i="2"/>
  <c r="J9" i="2" s="1"/>
  <c r="K9" i="2" s="1"/>
  <c r="F235" i="2"/>
  <c r="J235" i="2" s="1"/>
  <c r="K235" i="2" s="1"/>
  <c r="F246" i="2"/>
  <c r="J246" i="2" s="1"/>
  <c r="K246" i="2" s="1"/>
  <c r="F261" i="2"/>
  <c r="J261" i="2" s="1"/>
  <c r="K261" i="2" s="1"/>
  <c r="F205" i="2"/>
  <c r="J205" i="2" s="1"/>
  <c r="K205" i="2" s="1"/>
  <c r="F62" i="2"/>
  <c r="J62" i="2" s="1"/>
  <c r="K62" i="2" s="1"/>
  <c r="F133" i="2"/>
  <c r="J133" i="2" s="1"/>
  <c r="K133" i="2" s="1"/>
  <c r="F158" i="2"/>
  <c r="J158" i="2" s="1"/>
  <c r="K158" i="2" s="1"/>
  <c r="F107" i="2"/>
  <c r="J107" i="2" s="1"/>
  <c r="K107" i="2" s="1"/>
  <c r="F214" i="2"/>
  <c r="J214" i="2" s="1"/>
  <c r="K214" i="2" s="1"/>
  <c r="F274" i="2"/>
  <c r="J274" i="2" s="1"/>
  <c r="K274" i="2" s="1"/>
  <c r="F349" i="2"/>
  <c r="J349" i="2" s="1"/>
  <c r="K349" i="2" s="1"/>
  <c r="F166" i="2"/>
  <c r="J166" i="2" s="1"/>
  <c r="K166" i="2" s="1"/>
  <c r="F82" i="2"/>
  <c r="J82" i="2" s="1"/>
  <c r="K82" i="2" s="1"/>
  <c r="F93" i="2"/>
  <c r="J93" i="2" s="1"/>
  <c r="K93" i="2" s="1"/>
  <c r="F237" i="2"/>
  <c r="J237" i="2" s="1"/>
  <c r="K237" i="2" s="1"/>
  <c r="F305" i="2"/>
  <c r="J305" i="2" s="1"/>
  <c r="K305" i="2" s="1"/>
  <c r="F203" i="2"/>
  <c r="J203" i="2" s="1"/>
  <c r="K203" i="2" s="1"/>
  <c r="F32" i="2"/>
  <c r="J32" i="2" s="1"/>
  <c r="K32" i="2" s="1"/>
  <c r="F68" i="2"/>
  <c r="J68" i="2" s="1"/>
  <c r="K68" i="2" s="1"/>
  <c r="F268" i="2"/>
  <c r="J268" i="2" s="1"/>
  <c r="K268" i="2" s="1"/>
  <c r="F329" i="2"/>
  <c r="J329" i="2" s="1"/>
  <c r="K329" i="2" s="1"/>
  <c r="F253" i="2"/>
  <c r="J253" i="2" s="1"/>
  <c r="K253" i="2" s="1"/>
  <c r="F238" i="2"/>
  <c r="J238" i="2" s="1"/>
  <c r="K238" i="2" s="1"/>
  <c r="F206" i="2"/>
  <c r="J206" i="2" s="1"/>
  <c r="K206" i="2" s="1"/>
  <c r="F358" i="2"/>
  <c r="J358" i="2" s="1"/>
  <c r="K358" i="2" s="1"/>
  <c r="F251" i="2"/>
  <c r="J251" i="2" s="1"/>
  <c r="K251" i="2" s="1"/>
  <c r="F324" i="2"/>
  <c r="J324" i="2" s="1"/>
  <c r="K324" i="2" s="1"/>
  <c r="F51" i="2"/>
  <c r="J51" i="2" s="1"/>
  <c r="K51" i="2" s="1"/>
  <c r="F336" i="2"/>
  <c r="J336" i="2" s="1"/>
  <c r="K336" i="2" s="1"/>
  <c r="F189" i="2"/>
  <c r="J189" i="2" s="1"/>
  <c r="K189" i="2" s="1"/>
  <c r="F108" i="2"/>
  <c r="J108" i="2" s="1"/>
  <c r="K108" i="2" s="1"/>
  <c r="F14" i="2"/>
  <c r="J14" i="2" s="1"/>
  <c r="K14" i="2" s="1"/>
  <c r="F350" i="2"/>
  <c r="J350" i="2" s="1"/>
  <c r="K350" i="2" s="1"/>
  <c r="F170" i="2"/>
  <c r="J170" i="2" s="1"/>
  <c r="K170" i="2" s="1"/>
  <c r="F222" i="2"/>
  <c r="J222" i="2" s="1"/>
  <c r="K222" i="2" s="1"/>
  <c r="F83" i="2"/>
  <c r="J83" i="2" s="1"/>
  <c r="K83" i="2" s="1"/>
  <c r="F295" i="2"/>
  <c r="J295" i="2" s="1"/>
  <c r="K295" i="2" s="1"/>
  <c r="F209" i="2"/>
  <c r="J209" i="2" s="1"/>
  <c r="K209" i="2" s="1"/>
  <c r="F38" i="2"/>
  <c r="J38" i="2" s="1"/>
  <c r="K38" i="2" s="1"/>
  <c r="F184" i="2"/>
  <c r="J184" i="2" s="1"/>
  <c r="K184" i="2" s="1"/>
  <c r="F249" i="2"/>
  <c r="J249" i="2" s="1"/>
  <c r="K249" i="2" s="1"/>
  <c r="F318" i="2"/>
  <c r="J318" i="2" s="1"/>
  <c r="K318" i="2" s="1"/>
  <c r="F236" i="2"/>
  <c r="J236" i="2" s="1"/>
  <c r="K236" i="2" s="1"/>
  <c r="F7" i="2"/>
  <c r="J7" i="2" s="1"/>
  <c r="K7" i="2" s="1"/>
  <c r="F137" i="2"/>
  <c r="J137" i="2" s="1"/>
  <c r="K137" i="2" s="1"/>
  <c r="F74" i="2"/>
  <c r="J74" i="2" s="1"/>
  <c r="K74" i="2" s="1"/>
  <c r="F269" i="2"/>
  <c r="J269" i="2" s="1"/>
  <c r="K269" i="2" s="1"/>
  <c r="F351" i="2"/>
  <c r="J351" i="2" s="1"/>
  <c r="K351" i="2" s="1"/>
  <c r="F210" i="2"/>
  <c r="J210" i="2" s="1"/>
  <c r="K210" i="2" s="1"/>
  <c r="F285" i="2"/>
  <c r="J285" i="2" s="1"/>
  <c r="K285" i="2" s="1"/>
  <c r="F357" i="2"/>
  <c r="J357" i="2" s="1"/>
  <c r="K357" i="2" s="1"/>
  <c r="F84" i="2"/>
  <c r="J84" i="2" s="1"/>
  <c r="K84" i="2" s="1"/>
  <c r="F181" i="2"/>
  <c r="J181" i="2" s="1"/>
  <c r="K181" i="2" s="1"/>
  <c r="F242" i="2"/>
  <c r="J242" i="2" s="1"/>
  <c r="K242" i="2" s="1"/>
  <c r="F143" i="2"/>
  <c r="J143" i="2" s="1"/>
  <c r="K143" i="2" s="1"/>
  <c r="F207" i="2"/>
  <c r="J207" i="2" s="1"/>
  <c r="K207" i="2" s="1"/>
  <c r="F270" i="2"/>
  <c r="J270" i="2" s="1"/>
  <c r="K270" i="2" s="1"/>
  <c r="F172" i="2"/>
  <c r="J172" i="2" s="1"/>
  <c r="K172" i="2" s="1"/>
  <c r="F363" i="2"/>
  <c r="J363" i="2" s="1"/>
  <c r="K363" i="2" s="1"/>
  <c r="F271" i="2"/>
  <c r="J271" i="2" s="1"/>
  <c r="K271" i="2" s="1"/>
  <c r="F27" i="2"/>
  <c r="J27" i="2" s="1"/>
  <c r="K27" i="2" s="1"/>
  <c r="F225" i="2"/>
  <c r="J225" i="2" s="1"/>
  <c r="K225" i="2" s="1"/>
  <c r="F122" i="2"/>
  <c r="J122" i="2" s="1"/>
  <c r="K122" i="2" s="1"/>
  <c r="F319" i="2"/>
  <c r="J319" i="2" s="1"/>
  <c r="K319" i="2" s="1"/>
  <c r="F337" i="2"/>
  <c r="J337" i="2" s="1"/>
  <c r="K337" i="2" s="1"/>
  <c r="F227" i="2"/>
  <c r="J227" i="2" s="1"/>
  <c r="K227" i="2" s="1"/>
  <c r="F109" i="2"/>
  <c r="J109" i="2" s="1"/>
  <c r="K109" i="2" s="1"/>
  <c r="F198" i="2"/>
  <c r="J198" i="2" s="1"/>
  <c r="K198" i="2" s="1"/>
  <c r="F78" i="2"/>
  <c r="J78" i="2" s="1"/>
  <c r="K78" i="2" s="1"/>
  <c r="F24" i="2"/>
  <c r="J24" i="2" s="1"/>
  <c r="K24" i="2" s="1"/>
  <c r="F281" i="2"/>
  <c r="J281" i="2" s="1"/>
  <c r="K281" i="2" s="1"/>
  <c r="F364" i="2"/>
  <c r="J364" i="2" s="1"/>
  <c r="K364" i="2" s="1"/>
  <c r="F159" i="2"/>
  <c r="J159" i="2" s="1"/>
  <c r="K159" i="2" s="1"/>
  <c r="F289" i="2"/>
  <c r="J289" i="2" s="1"/>
  <c r="K289" i="2" s="1"/>
  <c r="F220" i="2"/>
  <c r="J220" i="2" s="1"/>
  <c r="K220" i="2" s="1"/>
  <c r="F378" i="2"/>
  <c r="J378" i="2" s="1"/>
  <c r="K378" i="2" s="1"/>
  <c r="F193" i="2"/>
  <c r="J193" i="2" s="1"/>
  <c r="K193" i="2" s="1"/>
  <c r="F254" i="2"/>
  <c r="J254" i="2" s="1"/>
  <c r="K254" i="2" s="1"/>
  <c r="F139" i="2"/>
  <c r="J139" i="2" s="1"/>
  <c r="K139" i="2" s="1"/>
  <c r="F10" i="2"/>
  <c r="J10" i="2" s="1"/>
  <c r="K10" i="2" s="1"/>
  <c r="F338" i="2"/>
  <c r="J338" i="2" s="1"/>
  <c r="K338" i="2" s="1"/>
  <c r="F69" i="2"/>
  <c r="J69" i="2" s="1"/>
  <c r="K69" i="2" s="1"/>
  <c r="F226" i="2"/>
  <c r="J226" i="2" s="1"/>
  <c r="K226" i="2" s="1"/>
  <c r="F144" i="2"/>
  <c r="J144" i="2" s="1"/>
  <c r="K144" i="2" s="1"/>
  <c r="F199" i="2"/>
  <c r="J199" i="2" s="1"/>
  <c r="K199" i="2" s="1"/>
  <c r="F352" i="2"/>
  <c r="J352" i="2" s="1"/>
  <c r="K352" i="2" s="1"/>
  <c r="F275" i="2"/>
  <c r="J275" i="2" s="1"/>
  <c r="K275" i="2" s="1"/>
  <c r="F124" i="2"/>
  <c r="J124" i="2" s="1"/>
  <c r="K124" i="2" s="1"/>
  <c r="F239" i="2"/>
  <c r="J239" i="2" s="1"/>
  <c r="K239" i="2" s="1"/>
  <c r="F45" i="2"/>
  <c r="J45" i="2" s="1"/>
  <c r="K45" i="2" s="1"/>
  <c r="F110" i="2"/>
  <c r="J110" i="2" s="1"/>
  <c r="K110" i="2" s="1"/>
  <c r="F339" i="2"/>
  <c r="J339" i="2" s="1"/>
  <c r="K339" i="2" s="1"/>
  <c r="F15" i="2"/>
  <c r="J15" i="2" s="1"/>
  <c r="K15" i="2" s="1"/>
  <c r="F286" i="2"/>
  <c r="J286" i="2" s="1"/>
  <c r="K286" i="2" s="1"/>
  <c r="F85" i="2"/>
  <c r="J85" i="2" s="1"/>
  <c r="K85" i="2" s="1"/>
  <c r="F185" i="2"/>
  <c r="J185" i="2" s="1"/>
  <c r="K185" i="2" s="1"/>
  <c r="F200" i="2"/>
  <c r="J200" i="2" s="1"/>
  <c r="K200" i="2" s="1"/>
  <c r="F368" i="2"/>
  <c r="J368" i="2" s="1"/>
  <c r="K368" i="2" s="1"/>
  <c r="F58" i="2"/>
  <c r="J58" i="2" s="1"/>
  <c r="K58" i="2" s="1"/>
  <c r="F353" i="2"/>
  <c r="J353" i="2" s="1"/>
  <c r="K353" i="2" s="1"/>
  <c r="F201" i="2"/>
  <c r="J201" i="2" s="1"/>
  <c r="K201" i="2" s="1"/>
  <c r="F228" i="2"/>
  <c r="J228" i="2" s="1"/>
  <c r="K228" i="2" s="1"/>
  <c r="F229" i="2"/>
  <c r="J229" i="2" s="1"/>
  <c r="K229" i="2" s="1"/>
  <c r="F276" i="2"/>
  <c r="J276" i="2" s="1"/>
  <c r="K276" i="2" s="1"/>
  <c r="F325" i="2"/>
  <c r="J325" i="2" s="1"/>
  <c r="K325" i="2" s="1"/>
  <c r="F162" i="2"/>
  <c r="J162" i="2" s="1"/>
  <c r="K162" i="2" s="1"/>
  <c r="F16" i="2"/>
  <c r="J16" i="2" s="1"/>
  <c r="K16" i="2" s="1"/>
  <c r="F111" i="2"/>
  <c r="J111" i="2" s="1"/>
  <c r="K111" i="2" s="1"/>
  <c r="F17" i="2"/>
  <c r="J17" i="2" s="1"/>
  <c r="K17" i="2" s="1"/>
  <c r="F215" i="2"/>
  <c r="J215" i="2" s="1"/>
  <c r="K215" i="2" s="1"/>
  <c r="F282" i="2"/>
  <c r="J282" i="2" s="1"/>
  <c r="K282" i="2" s="1"/>
  <c r="F11" i="2"/>
  <c r="J11" i="2" s="1"/>
  <c r="K11" i="2" s="1"/>
  <c r="F131" i="2"/>
  <c r="J131" i="2" s="1"/>
  <c r="K131" i="2" s="1"/>
  <c r="F287" i="2"/>
  <c r="J287" i="2" s="1"/>
  <c r="K287" i="2" s="1"/>
  <c r="F369" i="2"/>
  <c r="J369" i="2" s="1"/>
  <c r="K369" i="2" s="1"/>
  <c r="F310" i="2"/>
  <c r="J310" i="2" s="1"/>
  <c r="K310" i="2" s="1"/>
  <c r="F49" i="2"/>
  <c r="J49" i="2" s="1"/>
  <c r="K49" i="2" s="1"/>
  <c r="F182" i="2"/>
  <c r="J182" i="2" s="1"/>
  <c r="K182" i="2" s="1"/>
  <c r="F240" i="2"/>
  <c r="J240" i="2" s="1"/>
  <c r="K240" i="2" s="1"/>
  <c r="F211" i="2"/>
  <c r="J211" i="2" s="1"/>
  <c r="K211" i="2" s="1"/>
  <c r="F302" i="2"/>
  <c r="J302" i="2" s="1"/>
  <c r="K302" i="2" s="1"/>
  <c r="F86" i="2"/>
  <c r="J86" i="2" s="1"/>
  <c r="K86" i="2" s="1"/>
  <c r="F293" i="2"/>
  <c r="J293" i="2" s="1"/>
  <c r="K293" i="2" s="1"/>
  <c r="F321" i="2"/>
  <c r="J321" i="2" s="1"/>
  <c r="K321" i="2" s="1"/>
  <c r="F76" i="2"/>
  <c r="J76" i="2" s="1"/>
  <c r="K76" i="2" s="1"/>
  <c r="F354" i="2"/>
  <c r="J354" i="2" s="1"/>
  <c r="K354" i="2" s="1"/>
  <c r="F22" i="2"/>
  <c r="J22" i="2" s="1"/>
  <c r="K22" i="2" s="1"/>
  <c r="F223" i="2"/>
  <c r="J223" i="2" s="1"/>
  <c r="K223" i="2" s="1"/>
  <c r="F299" i="2"/>
  <c r="J299" i="2" s="1"/>
  <c r="K299" i="2" s="1"/>
  <c r="F56" i="2"/>
  <c r="J56" i="2" s="1"/>
  <c r="K56" i="2" s="1"/>
  <c r="F12" i="2"/>
  <c r="J12" i="2" s="1"/>
  <c r="K12" i="2" s="1"/>
  <c r="F75" i="2"/>
  <c r="J75" i="2" s="1"/>
  <c r="K75" i="2" s="1"/>
  <c r="F202" i="2"/>
  <c r="J202" i="2" s="1"/>
  <c r="K202" i="2" s="1"/>
  <c r="F147" i="2"/>
  <c r="J147" i="2" s="1"/>
  <c r="K147" i="2" s="1"/>
  <c r="F272" i="2"/>
  <c r="J272" i="2" s="1"/>
  <c r="K272" i="2" s="1"/>
  <c r="F247" i="2"/>
  <c r="J247" i="2" s="1"/>
  <c r="K247" i="2" s="1"/>
  <c r="F340" i="2"/>
  <c r="J340" i="2" s="1"/>
  <c r="K340" i="2" s="1"/>
  <c r="F148" i="2"/>
  <c r="J148" i="2" s="1"/>
  <c r="K148" i="2" s="1"/>
  <c r="F296" i="2"/>
  <c r="J296" i="2" s="1"/>
  <c r="K296" i="2" s="1"/>
  <c r="F94" i="2"/>
  <c r="J94" i="2" s="1"/>
  <c r="K94" i="2" s="1"/>
  <c r="F53" i="2"/>
  <c r="J53" i="2" s="1"/>
  <c r="K53" i="2" s="1"/>
  <c r="F145" i="2"/>
  <c r="J145" i="2" s="1"/>
  <c r="K145" i="2" s="1"/>
  <c r="F18" i="2"/>
  <c r="J18" i="2" s="1"/>
  <c r="K18" i="2" s="1"/>
  <c r="F216" i="2"/>
  <c r="J216" i="2" s="1"/>
  <c r="K216" i="2" s="1"/>
  <c r="F370" i="2"/>
  <c r="J370" i="2" s="1"/>
  <c r="K370" i="2" s="1"/>
  <c r="F341" i="2"/>
  <c r="J341" i="2" s="1"/>
  <c r="K341" i="2" s="1"/>
  <c r="F95" i="2"/>
  <c r="J95" i="2" s="1"/>
  <c r="K95" i="2" s="1"/>
  <c r="F163" i="2"/>
  <c r="J163" i="2" s="1"/>
  <c r="K163" i="2" s="1"/>
  <c r="F52" i="2"/>
  <c r="J52" i="2" s="1"/>
  <c r="K52" i="2" s="1"/>
  <c r="F112" i="2"/>
  <c r="J112" i="2" s="1"/>
  <c r="K112" i="2" s="1"/>
  <c r="F5" i="2"/>
  <c r="J5" i="2" s="1"/>
  <c r="K5" i="2" s="1"/>
  <c r="F164" i="2"/>
  <c r="J164" i="2" s="1"/>
  <c r="K164" i="2" s="1"/>
  <c r="F290" i="2"/>
  <c r="J290" i="2" s="1"/>
  <c r="K290" i="2" s="1"/>
  <c r="F373" i="2"/>
  <c r="J373" i="2" s="1"/>
  <c r="K373" i="2" s="1"/>
  <c r="F63" i="2"/>
  <c r="J63" i="2" s="1"/>
  <c r="K63" i="2" s="1"/>
  <c r="F243" i="2"/>
  <c r="J243" i="2" s="1"/>
  <c r="K243" i="2" s="1"/>
  <c r="F311" i="2"/>
  <c r="J311" i="2" s="1"/>
  <c r="K311" i="2" s="1"/>
  <c r="F365" i="2"/>
  <c r="J365" i="2" s="1"/>
  <c r="K365" i="2" s="1"/>
  <c r="F186" i="2"/>
  <c r="J186" i="2" s="1"/>
  <c r="K186" i="2" s="1"/>
  <c r="F187" i="2"/>
  <c r="J187" i="2" s="1"/>
  <c r="K187" i="2" s="1"/>
  <c r="F126" i="2"/>
  <c r="J126" i="2" s="1"/>
  <c r="K126" i="2" s="1"/>
  <c r="F330" i="2"/>
  <c r="J330" i="2" s="1"/>
  <c r="K330" i="2" s="1"/>
  <c r="F248" i="2"/>
  <c r="J248" i="2" s="1"/>
  <c r="K248" i="2" s="1"/>
  <c r="F42" i="2"/>
  <c r="J42" i="2" s="1"/>
  <c r="K42" i="2" s="1"/>
  <c r="F326" i="2"/>
  <c r="J326" i="2" s="1"/>
  <c r="K326" i="2" s="1"/>
  <c r="F33" i="2"/>
  <c r="J33" i="2" s="1"/>
  <c r="K33" i="2" s="1"/>
  <c r="F50" i="2"/>
  <c r="J50" i="2" s="1"/>
  <c r="K50" i="2" s="1"/>
  <c r="F127" i="2"/>
  <c r="J127" i="2" s="1"/>
  <c r="K127" i="2" s="1"/>
  <c r="F322" i="2"/>
  <c r="J322" i="2" s="1"/>
  <c r="K322" i="2" s="1"/>
  <c r="F34" i="2"/>
  <c r="J34" i="2" s="1"/>
  <c r="K34" i="2" s="1"/>
  <c r="F125" i="2"/>
  <c r="J125" i="2" s="1"/>
  <c r="K125" i="2" s="1"/>
  <c r="F153" i="2"/>
  <c r="J153" i="2" s="1"/>
  <c r="K153" i="2" s="1"/>
  <c r="F255" i="2"/>
  <c r="J255" i="2" s="1"/>
  <c r="K255" i="2" s="1"/>
  <c r="F103" i="2"/>
  <c r="J103" i="2" s="1"/>
  <c r="K103" i="2" s="1"/>
  <c r="F35" i="2"/>
  <c r="J35" i="2" s="1"/>
  <c r="K35" i="2" s="1"/>
  <c r="F167" i="2"/>
  <c r="J167" i="2" s="1"/>
  <c r="K167" i="2" s="1"/>
  <c r="F113" i="2"/>
  <c r="J113" i="2" s="1"/>
  <c r="K113" i="2" s="1"/>
  <c r="F359" i="2"/>
  <c r="J359" i="2" s="1"/>
  <c r="K359" i="2" s="1"/>
  <c r="F342" i="2"/>
  <c r="J342" i="2" s="1"/>
  <c r="K342" i="2" s="1"/>
  <c r="F40" i="2"/>
  <c r="J40" i="2" s="1"/>
  <c r="K40" i="2" s="1"/>
  <c r="F283" i="2"/>
  <c r="J283" i="2" s="1"/>
  <c r="K283" i="2" s="1"/>
  <c r="F360" i="2"/>
  <c r="J360" i="2" s="1"/>
  <c r="K360" i="2" s="1"/>
  <c r="F294" i="2"/>
  <c r="J294" i="2" s="1"/>
  <c r="K294" i="2" s="1"/>
  <c r="F312" i="2"/>
  <c r="J312" i="2" s="1"/>
  <c r="K312" i="2" s="1"/>
  <c r="F379" i="2"/>
  <c r="J379" i="2" s="1"/>
  <c r="K379" i="2" s="1"/>
  <c r="F176" i="2"/>
  <c r="J176" i="2" s="1"/>
  <c r="K176" i="2" s="1"/>
  <c r="F54" i="2"/>
  <c r="J54" i="2" s="1"/>
  <c r="K54" i="2" s="1"/>
  <c r="F178" i="2"/>
  <c r="J178" i="2" s="1"/>
  <c r="K178" i="2" s="1"/>
  <c r="F244" i="2"/>
  <c r="J244" i="2" s="1"/>
  <c r="K244" i="2" s="1"/>
  <c r="F204" i="2"/>
  <c r="J204" i="2" s="1"/>
  <c r="K204" i="2" s="1"/>
  <c r="F128" i="2"/>
  <c r="J128" i="2" s="1"/>
  <c r="K128" i="2" s="1"/>
  <c r="F43" i="2"/>
  <c r="J43" i="2" s="1"/>
  <c r="K43" i="2" s="1"/>
  <c r="F87" i="2"/>
  <c r="J87" i="2" s="1"/>
  <c r="K87" i="2" s="1"/>
  <c r="F361" i="2"/>
  <c r="J361" i="2" s="1"/>
  <c r="K361" i="2" s="1"/>
  <c r="F256" i="2"/>
  <c r="J256" i="2" s="1"/>
  <c r="K256" i="2" s="1"/>
  <c r="F123" i="2"/>
  <c r="J123" i="2" s="1"/>
  <c r="K123" i="2" s="1"/>
  <c r="F13" i="2"/>
  <c r="J13" i="2" s="1"/>
  <c r="K13" i="2" s="1"/>
  <c r="F96" i="2"/>
  <c r="J96" i="2" s="1"/>
  <c r="K96" i="2" s="1"/>
  <c r="F70" i="2"/>
  <c r="J70" i="2" s="1"/>
  <c r="K70" i="2" s="1"/>
  <c r="F233" i="2"/>
  <c r="J233" i="2" s="1"/>
  <c r="K233" i="2" s="1"/>
  <c r="F277" i="2"/>
  <c r="J277" i="2" s="1"/>
  <c r="K277" i="2" s="1"/>
  <c r="F327" i="2"/>
  <c r="J327" i="2" s="1"/>
  <c r="K327" i="2" s="1"/>
  <c r="F39" i="2"/>
  <c r="J39" i="2" s="1"/>
  <c r="K39" i="2" s="1"/>
  <c r="F179" i="2"/>
  <c r="J179" i="2" s="1"/>
  <c r="K179" i="2" s="1"/>
  <c r="F114" i="2"/>
  <c r="J114" i="2" s="1"/>
  <c r="K114" i="2" s="1"/>
  <c r="F217" i="2"/>
  <c r="J217" i="2" s="1"/>
  <c r="K217" i="2" s="1"/>
  <c r="F257" i="2"/>
  <c r="J257" i="2" s="1"/>
  <c r="K257" i="2" s="1"/>
  <c r="F258" i="2"/>
  <c r="J258" i="2" s="1"/>
  <c r="K258" i="2" s="1"/>
  <c r="F59" i="2"/>
  <c r="J59" i="2" s="1"/>
  <c r="K59" i="2" s="1"/>
  <c r="F328" i="2"/>
  <c r="J328" i="2" s="1"/>
  <c r="K328" i="2" s="1"/>
  <c r="F71" i="2"/>
  <c r="J71" i="2" s="1"/>
  <c r="K71" i="2" s="1"/>
  <c r="F190" i="2"/>
  <c r="J190" i="2" s="1"/>
  <c r="K190" i="2" s="1"/>
  <c r="F25" i="2"/>
  <c r="J25" i="2" s="1"/>
  <c r="K25" i="2" s="1"/>
  <c r="F168" i="2"/>
  <c r="J168" i="2" s="1"/>
  <c r="K168" i="2" s="1"/>
  <c r="F115" i="2"/>
  <c r="J115" i="2" s="1"/>
  <c r="K115" i="2" s="1"/>
  <c r="F371" i="2"/>
  <c r="J371" i="2" s="1"/>
  <c r="K371" i="2" s="1"/>
  <c r="F308" i="2"/>
  <c r="J308" i="2" s="1"/>
  <c r="K308" i="2" s="1"/>
  <c r="F224" i="2"/>
  <c r="J224" i="2" s="1"/>
  <c r="K224" i="2" s="1"/>
  <c r="F303" i="2"/>
  <c r="J303" i="2" s="1"/>
  <c r="K303" i="2" s="1"/>
  <c r="F374" i="2"/>
  <c r="J374" i="2" s="1"/>
  <c r="K374" i="2" s="1"/>
  <c r="F259" i="2"/>
  <c r="J259" i="2" s="1"/>
  <c r="K259" i="2" s="1"/>
  <c r="F260" i="2"/>
  <c r="J260" i="2" s="1"/>
  <c r="K260" i="2" s="1"/>
  <c r="F331" i="2"/>
  <c r="J331" i="2" s="1"/>
  <c r="K331" i="2" s="1"/>
  <c r="F134" i="2"/>
  <c r="J134" i="2" s="1"/>
  <c r="K134" i="2" s="1"/>
  <c r="F160" i="2"/>
  <c r="J160" i="2" s="1"/>
  <c r="K160" i="2" s="1"/>
  <c r="F297" i="2"/>
  <c r="J297" i="2" s="1"/>
  <c r="K297" i="2" s="1"/>
  <c r="F263" i="2"/>
  <c r="J263" i="2" s="1"/>
  <c r="K263" i="2" s="1"/>
  <c r="F320" i="2"/>
  <c r="J320" i="2" s="1"/>
  <c r="K320" i="2" s="1"/>
  <c r="F362" i="2"/>
  <c r="J362" i="2" s="1"/>
  <c r="K362" i="2" s="1"/>
  <c r="F46" i="2"/>
  <c r="J46" i="2" s="1"/>
  <c r="K46" i="2" s="1"/>
  <c r="F97" i="2"/>
  <c r="J97" i="2" s="1"/>
  <c r="K97" i="2" s="1"/>
  <c r="F380" i="2"/>
  <c r="J380" i="2" s="1"/>
  <c r="K380" i="2" s="1"/>
  <c r="F245" i="2"/>
  <c r="J245" i="2" s="1"/>
  <c r="K245" i="2" s="1"/>
  <c r="F44" i="2"/>
  <c r="J44" i="2" s="1"/>
  <c r="K44" i="2" s="1"/>
  <c r="F298" i="2"/>
  <c r="J298" i="2" s="1"/>
  <c r="K298" i="2" s="1"/>
  <c r="F221" i="2"/>
  <c r="J221" i="2" s="1"/>
  <c r="K221" i="2" s="1"/>
  <c r="F88" i="2"/>
  <c r="J88" i="2" s="1"/>
  <c r="K88" i="2" s="1"/>
  <c r="F375" i="2"/>
  <c r="J375" i="2" s="1"/>
  <c r="K375" i="2" s="1"/>
  <c r="F149" i="2"/>
  <c r="J149" i="2" s="1"/>
  <c r="K149" i="2" s="1"/>
  <c r="F6" i="2"/>
  <c r="J6" i="2" s="1"/>
  <c r="K6" i="2" s="1"/>
  <c r="F146" i="2"/>
  <c r="J146" i="2" s="1"/>
  <c r="K146" i="2" s="1"/>
  <c r="F183" i="2"/>
  <c r="J183" i="2" s="1"/>
  <c r="K183" i="2" s="1"/>
  <c r="F376" i="2"/>
  <c r="J376" i="2" s="1"/>
  <c r="K376" i="2" s="1"/>
  <c r="F241" i="2"/>
  <c r="J241" i="2" s="1"/>
  <c r="K241" i="2" s="1"/>
  <c r="F118" i="2"/>
  <c r="J118" i="2" s="1"/>
  <c r="K118" i="2" s="1"/>
  <c r="F315" i="2"/>
  <c r="J315" i="2" s="1"/>
  <c r="K315" i="2" s="1"/>
  <c r="F212" i="2"/>
  <c r="J212" i="2" s="1"/>
  <c r="K212" i="2" s="1"/>
  <c r="F89" i="2"/>
  <c r="J89" i="2" s="1"/>
  <c r="K89" i="2" s="1"/>
  <c r="F135" i="2"/>
  <c r="J135" i="2" s="1"/>
  <c r="K135" i="2" s="1"/>
  <c r="F264" i="2"/>
  <c r="J264" i="2" s="1"/>
  <c r="K264" i="2" s="1"/>
  <c r="F218" i="2"/>
  <c r="J218" i="2" s="1"/>
  <c r="K218" i="2" s="1"/>
  <c r="F119" i="2"/>
  <c r="J119" i="2" s="1"/>
  <c r="K119" i="2" s="1"/>
  <c r="F150" i="2"/>
  <c r="J150" i="2" s="1"/>
  <c r="K150" i="2" s="1"/>
  <c r="F219" i="2"/>
  <c r="J219" i="2" s="1"/>
  <c r="K219" i="2" s="1"/>
  <c r="F98" i="2"/>
  <c r="J98" i="2" s="1"/>
  <c r="K98" i="2" s="1"/>
  <c r="F129" i="2"/>
  <c r="J129" i="2" s="1"/>
  <c r="K129" i="2" s="1"/>
  <c r="F140" i="2"/>
  <c r="J140" i="2" s="1"/>
  <c r="K140" i="2" s="1"/>
  <c r="F213" i="2"/>
  <c r="J213" i="2" s="1"/>
  <c r="K213" i="2" s="1"/>
  <c r="F377" i="2"/>
  <c r="J377" i="2" s="1"/>
  <c r="K377" i="2" s="1"/>
  <c r="F120" i="2"/>
  <c r="J120" i="2" s="1"/>
  <c r="K120" i="2" s="1"/>
  <c r="F64" i="2"/>
  <c r="J64" i="2" s="1"/>
  <c r="K64" i="2" s="1"/>
  <c r="F278" i="2"/>
  <c r="J278" i="2" s="1"/>
  <c r="K278" i="2" s="1"/>
  <c r="F57" i="2"/>
  <c r="J57" i="2" s="1"/>
  <c r="K57" i="2" s="1"/>
  <c r="F343" i="2"/>
  <c r="J343" i="2" s="1"/>
  <c r="K343" i="2" s="1"/>
  <c r="F55" i="2"/>
  <c r="J55" i="2" s="1"/>
  <c r="K55" i="2" s="1"/>
  <c r="F194" i="2"/>
  <c r="J194" i="2" s="1"/>
  <c r="K194" i="2" s="1"/>
  <c r="F262" i="2"/>
  <c r="J262" i="2" s="1"/>
  <c r="K262" i="2" s="1"/>
  <c r="F99" i="2"/>
  <c r="J99" i="2" s="1"/>
  <c r="K99" i="2" s="1"/>
  <c r="F36" i="2"/>
  <c r="J36" i="2" s="1"/>
  <c r="K36" i="2" s="1"/>
  <c r="F104" i="2"/>
  <c r="J104" i="2" s="1"/>
  <c r="K104" i="2" s="1"/>
  <c r="F141" i="2"/>
  <c r="J141" i="2" s="1"/>
  <c r="K141" i="2" s="1"/>
  <c r="F65" i="2"/>
  <c r="J65" i="2" s="1"/>
  <c r="K65" i="2" s="1"/>
  <c r="F316" i="2"/>
  <c r="J316" i="2" s="1"/>
  <c r="K316" i="2" s="1"/>
  <c r="F273" i="2"/>
  <c r="J273" i="2" s="1"/>
  <c r="K273" i="2" s="1"/>
  <c r="F195" i="2"/>
  <c r="J195" i="2" s="1"/>
  <c r="K195" i="2" s="1"/>
  <c r="F26" i="2"/>
  <c r="J26" i="2" s="1"/>
  <c r="K26" i="2" s="1"/>
  <c r="F100" i="2"/>
  <c r="J100" i="2" s="1"/>
  <c r="K100" i="2" s="1"/>
  <c r="F284" i="2"/>
  <c r="J284" i="2" s="1"/>
  <c r="K284" i="2" s="1"/>
  <c r="F356" i="2"/>
  <c r="J356" i="2" s="1"/>
  <c r="K356" i="2" s="1"/>
  <c r="F265" i="2"/>
  <c r="J265" i="2" s="1"/>
  <c r="K265" i="2" s="1"/>
  <c r="F19" i="2"/>
  <c r="J19" i="2" s="1"/>
  <c r="K19" i="2" s="1"/>
  <c r="F355" i="2"/>
  <c r="J355" i="2" s="1"/>
  <c r="K355" i="2" s="1"/>
  <c r="F180" i="2"/>
  <c r="J180" i="2" s="1"/>
  <c r="K180" i="2" s="1"/>
  <c r="F138" i="2"/>
  <c r="J138" i="2" s="1"/>
  <c r="K138" i="2" s="1"/>
  <c r="F66" i="2"/>
  <c r="J66" i="2" s="1"/>
  <c r="K66" i="2" s="1"/>
  <c r="F177" i="2"/>
  <c r="J177" i="2" s="1"/>
  <c r="K177" i="2" s="1"/>
  <c r="F196" i="2"/>
  <c r="J196" i="2" s="1"/>
  <c r="K196" i="2" s="1"/>
  <c r="F266" i="2"/>
  <c r="J266" i="2" s="1"/>
  <c r="K266" i="2" s="1"/>
  <c r="F87" i="4" l="1"/>
  <c r="B160" i="4"/>
  <c r="M160" i="4" s="1" a="1"/>
  <c r="M160" i="4" s="1"/>
  <c r="B161" i="4"/>
  <c r="M161" i="4" s="1" a="1"/>
  <c r="M161" i="4" s="1"/>
  <c r="B102" i="4"/>
  <c r="M102" i="4" s="1" a="1"/>
  <c r="M102" i="4" s="1"/>
  <c r="B142" i="4"/>
  <c r="M142" i="4" s="1" a="1"/>
  <c r="M142" i="4" s="1"/>
  <c r="B182" i="4"/>
  <c r="M182" i="4" s="1" a="1"/>
  <c r="M182" i="4" s="1"/>
  <c r="B190" i="4"/>
  <c r="M190" i="4" s="1" a="1"/>
  <c r="M190" i="4" s="1"/>
  <c r="B10" i="4"/>
  <c r="M10" i="4" s="1" a="1"/>
  <c r="M10" i="4" s="1"/>
  <c r="B125" i="4"/>
  <c r="M125" i="4" s="1" a="1"/>
  <c r="M125" i="4" s="1"/>
  <c r="B104" i="4"/>
  <c r="M104" i="4" s="1" a="1"/>
  <c r="M104" i="4" s="1"/>
  <c r="B20" i="4"/>
  <c r="M20" i="4" s="1" a="1"/>
  <c r="M20" i="4" s="1"/>
  <c r="B176" i="4"/>
  <c r="M176" i="4" s="1" a="1"/>
  <c r="M176" i="4" s="1"/>
  <c r="B39" i="4"/>
  <c r="M39" i="4" s="1" a="1"/>
  <c r="M39" i="4" s="1"/>
  <c r="B21" i="4"/>
  <c r="M21" i="4" s="1" a="1"/>
  <c r="M21" i="4" s="1"/>
  <c r="B55" i="4"/>
  <c r="M55" i="4" s="1" a="1"/>
  <c r="M55" i="4" s="1"/>
  <c r="B79" i="4"/>
  <c r="M79" i="4" s="1" a="1"/>
  <c r="M79" i="4" s="1"/>
  <c r="B112" i="4"/>
  <c r="M112" i="4" s="1" a="1"/>
  <c r="M112" i="4" s="1"/>
  <c r="B100" i="4"/>
  <c r="M100" i="4" s="1" a="1"/>
  <c r="M100" i="4" s="1"/>
  <c r="B36" i="4"/>
  <c r="M36" i="4" s="1" a="1"/>
  <c r="M36" i="4" s="1"/>
  <c r="B130" i="4"/>
  <c r="M130" i="4" s="1" a="1"/>
  <c r="M130" i="4" s="1"/>
  <c r="B34" i="4"/>
  <c r="M34" i="4" s="1" a="1"/>
  <c r="M34" i="4" s="1"/>
  <c r="B152" i="4"/>
  <c r="M152" i="4" s="1" a="1"/>
  <c r="M152" i="4" s="1"/>
  <c r="B150" i="4"/>
  <c r="M150" i="4" s="1" a="1"/>
  <c r="M150" i="4" s="1"/>
  <c r="B171" i="4"/>
  <c r="M171" i="4" s="1" a="1"/>
  <c r="M171" i="4" s="1"/>
  <c r="B45" i="4"/>
  <c r="M45" i="4" s="1" a="1"/>
  <c r="M45" i="4" s="1"/>
  <c r="B74" i="4"/>
  <c r="M74" i="4" s="1" a="1"/>
  <c r="M74" i="4" s="1"/>
  <c r="B6" i="4"/>
  <c r="M6" i="4" s="1" a="1"/>
  <c r="M6" i="4" s="1"/>
  <c r="B149" i="4"/>
  <c r="M149" i="4" s="1" a="1"/>
  <c r="M149" i="4" s="1"/>
  <c r="B126" i="4"/>
  <c r="M126" i="4" s="1" a="1"/>
  <c r="M126" i="4" s="1"/>
  <c r="B76" i="4"/>
  <c r="M76" i="4" s="1" a="1"/>
  <c r="M76" i="4" s="1"/>
  <c r="B49" i="4"/>
  <c r="M49" i="4" s="1" a="1"/>
  <c r="M49" i="4" s="1"/>
  <c r="B32" i="4"/>
  <c r="M32" i="4" s="1" a="1"/>
  <c r="M32" i="4" s="1"/>
  <c r="B148" i="4"/>
  <c r="M148" i="4" s="1" a="1"/>
  <c r="M148" i="4" s="1"/>
  <c r="B129" i="4"/>
  <c r="M129" i="4" s="1" a="1"/>
  <c r="M129" i="4" s="1"/>
  <c r="B134" i="4"/>
  <c r="M134" i="4" s="1" a="1"/>
  <c r="M134" i="4" s="1"/>
  <c r="B137" i="4"/>
  <c r="M137" i="4" s="1" a="1"/>
  <c r="M137" i="4" s="1"/>
  <c r="B58" i="4"/>
  <c r="M58" i="4" s="1" a="1"/>
  <c r="M58" i="4" s="1"/>
  <c r="B14" i="4"/>
  <c r="M14" i="4" s="1" a="1"/>
  <c r="M14" i="4" s="1"/>
  <c r="B29" i="4"/>
  <c r="M29" i="4" s="1" a="1"/>
  <c r="M29" i="4" s="1"/>
  <c r="B111" i="4"/>
  <c r="M111" i="4" s="1" a="1"/>
  <c r="M111" i="4" s="1"/>
  <c r="B41" i="4"/>
  <c r="M41" i="4" s="1" a="1"/>
  <c r="M41" i="4" s="1"/>
  <c r="B69" i="4"/>
  <c r="M69" i="4" s="1" a="1"/>
  <c r="M69" i="4" s="1"/>
  <c r="B63" i="4"/>
  <c r="M63" i="4" s="1" a="1"/>
  <c r="M63" i="4" s="1"/>
  <c r="B162" i="4"/>
  <c r="M162" i="4" s="1" a="1"/>
  <c r="M162" i="4" s="1"/>
  <c r="B188" i="4"/>
  <c r="M188" i="4" s="1" a="1"/>
  <c r="M188" i="4" s="1"/>
  <c r="B64" i="4"/>
  <c r="M64" i="4" s="1" a="1"/>
  <c r="M64" i="4" s="1"/>
  <c r="B25" i="4"/>
  <c r="M25" i="4" s="1" a="1"/>
  <c r="M25" i="4" s="1"/>
  <c r="B75" i="4"/>
  <c r="M75" i="4" s="1" a="1"/>
  <c r="M75" i="4" s="1"/>
  <c r="B192" i="4"/>
  <c r="M192" i="4" s="1" a="1"/>
  <c r="M192" i="4" s="1"/>
  <c r="B140" i="4"/>
  <c r="M140" i="4" s="1" a="1"/>
  <c r="M140" i="4" s="1"/>
  <c r="B164" i="4"/>
  <c r="M164" i="4" s="1" a="1"/>
  <c r="M164" i="4" s="1"/>
  <c r="B109" i="4"/>
  <c r="M109" i="4" s="1" a="1"/>
  <c r="M109" i="4" s="1"/>
  <c r="B131" i="4"/>
  <c r="M131" i="4" s="1" a="1"/>
  <c r="M131" i="4" s="1"/>
  <c r="B56" i="4"/>
  <c r="M56" i="4" s="1" a="1"/>
  <c r="M56" i="4" s="1"/>
  <c r="B159" i="4"/>
  <c r="M159" i="4" s="1" a="1"/>
  <c r="M159" i="4" s="1"/>
  <c r="B68" i="4"/>
  <c r="M68" i="4" s="1" a="1"/>
  <c r="M68" i="4" s="1"/>
  <c r="B204" i="4"/>
  <c r="M204" i="4" s="1" a="1"/>
  <c r="M204" i="4" s="1"/>
  <c r="B96" i="4"/>
  <c r="M96" i="4" s="1" a="1"/>
  <c r="M96" i="4" s="1"/>
  <c r="B183" i="4"/>
  <c r="M183" i="4" s="1" a="1"/>
  <c r="M183" i="4" s="1"/>
  <c r="B16" i="4"/>
  <c r="M16" i="4" s="1" a="1"/>
  <c r="M16" i="4" s="1"/>
  <c r="B146" i="4"/>
  <c r="M146" i="4" s="1" a="1"/>
  <c r="M146" i="4" s="1"/>
  <c r="B5" i="4"/>
  <c r="M5" i="4" s="1" a="1"/>
  <c r="M5" i="4" s="1"/>
  <c r="B106" i="4"/>
  <c r="M106" i="4" s="1" a="1"/>
  <c r="M106" i="4" s="1"/>
  <c r="B84" i="4"/>
  <c r="M84" i="4" s="1" a="1"/>
  <c r="M84" i="4" s="1"/>
  <c r="B122" i="4"/>
  <c r="M122" i="4" s="1" a="1"/>
  <c r="M122" i="4" s="1"/>
  <c r="B11" i="4"/>
  <c r="M11" i="4" s="1" a="1"/>
  <c r="M11" i="4" s="1"/>
  <c r="B156" i="4"/>
  <c r="M156" i="4" s="1" a="1"/>
  <c r="M156" i="4" s="1"/>
  <c r="B48" i="4"/>
  <c r="M48" i="4" s="1" a="1"/>
  <c r="M48" i="4" s="1"/>
  <c r="B193" i="4"/>
  <c r="M193" i="4" s="1" a="1"/>
  <c r="M193" i="4" s="1"/>
  <c r="B158" i="4"/>
  <c r="M158" i="4" s="1" a="1"/>
  <c r="M158" i="4" s="1"/>
  <c r="B177" i="4"/>
  <c r="M177" i="4" s="1" a="1"/>
  <c r="M177" i="4" s="1"/>
  <c r="B197" i="4"/>
  <c r="M197" i="4" s="1" a="1"/>
  <c r="M197" i="4" s="1"/>
  <c r="B178" i="4"/>
  <c r="M178" i="4" s="1" a="1"/>
  <c r="M178" i="4" s="1"/>
  <c r="B144" i="4"/>
  <c r="M144" i="4" s="1" a="1"/>
  <c r="M144" i="4" s="1"/>
  <c r="B40" i="4"/>
  <c r="M40" i="4" s="1" a="1"/>
  <c r="M40" i="4" s="1"/>
  <c r="B145" i="4"/>
  <c r="M145" i="4" s="1" a="1"/>
  <c r="M145" i="4" s="1"/>
  <c r="B201" i="4"/>
  <c r="M201" i="4" s="1" a="1"/>
  <c r="M201" i="4" s="1"/>
  <c r="B67" i="4"/>
  <c r="M67" i="4" s="1" a="1"/>
  <c r="M67" i="4" s="1"/>
  <c r="B42" i="4"/>
  <c r="M42" i="4" s="1" a="1"/>
  <c r="M42" i="4" s="1"/>
  <c r="B88" i="4"/>
  <c r="M88" i="4" s="1" a="1"/>
  <c r="M88" i="4" s="1"/>
  <c r="B187" i="4"/>
  <c r="M187" i="4" s="1" a="1"/>
  <c r="M187" i="4" s="1"/>
  <c r="B119" i="4"/>
  <c r="M119" i="4" s="1" a="1"/>
  <c r="M119" i="4" s="1"/>
  <c r="B30" i="4"/>
  <c r="M30" i="4" s="1" a="1"/>
  <c r="M30" i="4" s="1"/>
  <c r="B7" i="4"/>
  <c r="M7" i="4" s="1" a="1"/>
  <c r="M7" i="4" s="1"/>
  <c r="B12" i="4"/>
  <c r="M12" i="4" s="1" a="1"/>
  <c r="M12" i="4" s="1"/>
  <c r="B163" i="4"/>
  <c r="M163" i="4" s="1" a="1"/>
  <c r="M163" i="4" s="1"/>
  <c r="B174" i="4"/>
  <c r="M174" i="4" s="1" a="1"/>
  <c r="M174" i="4" s="1"/>
  <c r="B13" i="4"/>
  <c r="M13" i="4" s="1" a="1"/>
  <c r="M13" i="4" s="1"/>
  <c r="B103" i="4"/>
  <c r="M103" i="4" s="1" a="1"/>
  <c r="M103" i="4" s="1"/>
  <c r="B195" i="4"/>
  <c r="M195" i="4" s="1" a="1"/>
  <c r="M195" i="4" s="1"/>
  <c r="B54" i="4"/>
  <c r="M54" i="4" s="1" a="1"/>
  <c r="M54" i="4" s="1"/>
  <c r="B78" i="4"/>
  <c r="M78" i="4" s="1" a="1"/>
  <c r="M78" i="4" s="1"/>
  <c r="B15" i="4"/>
  <c r="M15" i="4" s="1" a="1"/>
  <c r="M15" i="4" s="1"/>
  <c r="B185" i="4"/>
  <c r="M185" i="4" s="1" a="1"/>
  <c r="M185" i="4" s="1"/>
  <c r="B139" i="4"/>
  <c r="M139" i="4" s="1" a="1"/>
  <c r="M139" i="4" s="1"/>
  <c r="B83" i="4"/>
  <c r="M83" i="4" s="1" a="1"/>
  <c r="M83" i="4" s="1"/>
  <c r="B72" i="4"/>
  <c r="M72" i="4" s="1" a="1"/>
  <c r="M72" i="4" s="1"/>
  <c r="B101" i="4"/>
  <c r="M101" i="4" s="1" a="1"/>
  <c r="M101" i="4" s="1"/>
  <c r="B180" i="4"/>
  <c r="M180" i="4" s="1" a="1"/>
  <c r="M180" i="4" s="1"/>
  <c r="B44" i="4"/>
  <c r="M44" i="4" s="1" a="1"/>
  <c r="M44" i="4" s="1"/>
  <c r="B73" i="4"/>
  <c r="M73" i="4" s="1" a="1"/>
  <c r="M73" i="4" s="1"/>
  <c r="B115" i="4"/>
  <c r="M115" i="4" s="1" a="1"/>
  <c r="M115" i="4" s="1"/>
  <c r="B8" i="4"/>
  <c r="M8" i="4" s="1" a="1"/>
  <c r="M8" i="4" s="1"/>
  <c r="B124" i="4"/>
  <c r="M124" i="4" s="1" a="1"/>
  <c r="M124" i="4" s="1"/>
  <c r="B108" i="4"/>
  <c r="M108" i="4" s="1" a="1"/>
  <c r="M108" i="4" s="1"/>
  <c r="B77" i="4"/>
  <c r="M77" i="4" s="1" a="1"/>
  <c r="M77" i="4" s="1"/>
  <c r="B85" i="4"/>
  <c r="M85" i="4" s="1" a="1"/>
  <c r="M85" i="4" s="1"/>
  <c r="B194" i="4"/>
  <c r="M194" i="4" s="1" a="1"/>
  <c r="M194" i="4" s="1"/>
  <c r="B53" i="4"/>
  <c r="M53" i="4" s="1" a="1"/>
  <c r="M53" i="4" s="1"/>
  <c r="B184" i="4"/>
  <c r="M184" i="4" s="1" a="1"/>
  <c r="M184" i="4" s="1"/>
  <c r="B97" i="4"/>
  <c r="M97" i="4" s="1" a="1"/>
  <c r="M97" i="4" s="1"/>
  <c r="B138" i="4"/>
  <c r="M138" i="4" s="1" a="1"/>
  <c r="M138" i="4" s="1"/>
  <c r="B80" i="4"/>
  <c r="M80" i="4" s="1" a="1"/>
  <c r="M80" i="4" s="1"/>
  <c r="B28" i="4"/>
  <c r="B136" i="4"/>
  <c r="M136" i="4" s="1" a="1"/>
  <c r="M136" i="4" s="1"/>
  <c r="B127" i="4"/>
  <c r="M127" i="4" s="1" a="1"/>
  <c r="M127" i="4" s="1"/>
  <c r="B62" i="4"/>
  <c r="M62" i="4" s="1" a="1"/>
  <c r="M62" i="4" s="1"/>
  <c r="B186" i="4"/>
  <c r="M186" i="4" s="1" a="1"/>
  <c r="M186" i="4" s="1"/>
  <c r="B89" i="4"/>
  <c r="M89" i="4" s="1" a="1"/>
  <c r="M89" i="4" s="1"/>
  <c r="B172" i="4"/>
  <c r="M172" i="4" s="1" a="1"/>
  <c r="M172" i="4" s="1"/>
  <c r="B31" i="4"/>
  <c r="M31" i="4" s="1" a="1"/>
  <c r="M31" i="4" s="1"/>
  <c r="B9" i="4"/>
  <c r="M9" i="4" s="1" a="1"/>
  <c r="M9" i="4" s="1"/>
  <c r="B167" i="4"/>
  <c r="M167" i="4" s="1" a="1"/>
  <c r="M167" i="4" s="1"/>
  <c r="B92" i="4"/>
  <c r="M92" i="4" s="1" a="1"/>
  <c r="M92" i="4" s="1"/>
  <c r="B175" i="4"/>
  <c r="M175" i="4" s="1" a="1"/>
  <c r="M175" i="4" s="1"/>
  <c r="B50" i="4"/>
  <c r="M50" i="4" s="1" a="1"/>
  <c r="M50" i="4" s="1"/>
  <c r="B52" i="4"/>
  <c r="M52" i="4" s="1" a="1"/>
  <c r="M52" i="4" s="1"/>
  <c r="B113" i="4"/>
  <c r="M113" i="4" s="1" a="1"/>
  <c r="M113" i="4" s="1"/>
  <c r="B132" i="4"/>
  <c r="M132" i="4" s="1" a="1"/>
  <c r="M132" i="4" s="1"/>
  <c r="B98" i="4"/>
  <c r="M98" i="4" s="1" a="1"/>
  <c r="M98" i="4" s="1"/>
  <c r="B199" i="4"/>
  <c r="M199" i="4" s="1" a="1"/>
  <c r="M199" i="4" s="1"/>
  <c r="B166" i="4"/>
  <c r="M166" i="4" s="1" a="1"/>
  <c r="M166" i="4" s="1"/>
  <c r="B82" i="4"/>
  <c r="M82" i="4" s="1" a="1"/>
  <c r="M82" i="4" s="1"/>
  <c r="M4" i="4" a="1"/>
  <c r="M4" i="4" s="1"/>
  <c r="C4" i="4" s="1"/>
  <c r="B23" i="4"/>
  <c r="M23" i="4" s="1" a="1"/>
  <c r="M23" i="4" s="1"/>
  <c r="B43" i="4"/>
  <c r="M43" i="4" s="1" a="1"/>
  <c r="M43" i="4" s="1"/>
  <c r="B70" i="4"/>
  <c r="M70" i="4" s="1" a="1"/>
  <c r="M70" i="4" s="1"/>
  <c r="B118" i="4"/>
  <c r="M118" i="4" s="1" a="1"/>
  <c r="M118" i="4" s="1"/>
  <c r="B181" i="4"/>
  <c r="M181" i="4" s="1" a="1"/>
  <c r="M181" i="4" s="1"/>
  <c r="B81" i="4"/>
  <c r="M81" i="4" s="1" a="1"/>
  <c r="M81" i="4" s="1"/>
  <c r="B60" i="4"/>
  <c r="M60" i="4" s="1" a="1"/>
  <c r="M60" i="4" s="1"/>
  <c r="B19" i="4"/>
  <c r="M19" i="4" s="1" a="1"/>
  <c r="M19" i="4" s="1"/>
  <c r="B173" i="4"/>
  <c r="M173" i="4" s="1" a="1"/>
  <c r="M173" i="4" s="1"/>
  <c r="B61" i="4"/>
  <c r="M61" i="4" s="1" a="1"/>
  <c r="M61" i="4" s="1"/>
  <c r="B157" i="4"/>
  <c r="M157" i="4" s="1" a="1"/>
  <c r="M157" i="4" s="1"/>
  <c r="B35" i="4"/>
  <c r="M35" i="4" s="1" a="1"/>
  <c r="M35" i="4" s="1"/>
  <c r="B196" i="4"/>
  <c r="M196" i="4" s="1" a="1"/>
  <c r="M196" i="4" s="1"/>
  <c r="B22" i="4"/>
  <c r="M22" i="4" s="1" a="1"/>
  <c r="M22" i="4" s="1"/>
  <c r="B57" i="4"/>
  <c r="M57" i="4" s="1" a="1"/>
  <c r="M57" i="4" s="1"/>
  <c r="B71" i="4"/>
  <c r="M71" i="4" s="1" a="1"/>
  <c r="M71" i="4" s="1"/>
  <c r="B169" i="4"/>
  <c r="M169" i="4" s="1" a="1"/>
  <c r="M169" i="4" s="1"/>
  <c r="B87" i="4"/>
  <c r="B99" i="4"/>
  <c r="M99" i="4" s="1" a="1"/>
  <c r="M99" i="4" s="1"/>
  <c r="B91" i="4"/>
  <c r="M91" i="4" s="1" a="1"/>
  <c r="M91" i="4" s="1"/>
  <c r="B135" i="4"/>
  <c r="M135" i="4" s="1" a="1"/>
  <c r="M135" i="4" s="1"/>
  <c r="B179" i="4"/>
  <c r="M179" i="4" s="1" a="1"/>
  <c r="M179" i="4" s="1"/>
  <c r="B170" i="4"/>
  <c r="M170" i="4" s="1" a="1"/>
  <c r="M170" i="4" s="1"/>
  <c r="B17" i="4"/>
  <c r="M17" i="4" s="1" a="1"/>
  <c r="M17" i="4" s="1"/>
  <c r="B143" i="4"/>
  <c r="M143" i="4" s="1" a="1"/>
  <c r="M143" i="4" s="1"/>
  <c r="B189" i="4"/>
  <c r="M189" i="4" s="1" a="1"/>
  <c r="M189" i="4" s="1"/>
  <c r="B46" i="4"/>
  <c r="M46" i="4" s="1" a="1"/>
  <c r="M46" i="4" s="1"/>
  <c r="B155" i="4"/>
  <c r="M155" i="4" s="1" a="1"/>
  <c r="M155" i="4" s="1"/>
  <c r="B191" i="4"/>
  <c r="M191" i="4" s="1" a="1"/>
  <c r="M191" i="4" s="1"/>
  <c r="B128" i="4"/>
  <c r="M128" i="4" s="1" a="1"/>
  <c r="M128" i="4" s="1"/>
  <c r="B147" i="4"/>
  <c r="M147" i="4" s="1" a="1"/>
  <c r="M147" i="4" s="1"/>
  <c r="B94" i="4"/>
  <c r="M94" i="4" s="1" a="1"/>
  <c r="M94" i="4" s="1"/>
  <c r="B165" i="4"/>
  <c r="M165" i="4" s="1" a="1"/>
  <c r="M165" i="4" s="1"/>
  <c r="B86" i="4"/>
  <c r="M86" i="4" s="1" a="1"/>
  <c r="M86" i="4" s="1"/>
  <c r="B198" i="4"/>
  <c r="M198" i="4" s="1" a="1"/>
  <c r="M198" i="4" s="1"/>
  <c r="B200" i="4"/>
  <c r="M200" i="4" s="1" a="1"/>
  <c r="M200" i="4" s="1"/>
  <c r="B151" i="4"/>
  <c r="M151" i="4" s="1" a="1"/>
  <c r="M151" i="4" s="1"/>
  <c r="B90" i="4"/>
  <c r="M90" i="4" s="1" a="1"/>
  <c r="M90" i="4" s="1"/>
  <c r="B59" i="4"/>
  <c r="M59" i="4" s="1" a="1"/>
  <c r="M59" i="4" s="1"/>
  <c r="B153" i="4"/>
  <c r="M153" i="4" s="1" a="1"/>
  <c r="M153" i="4" s="1"/>
  <c r="B66" i="4"/>
  <c r="M66" i="4" s="1" a="1"/>
  <c r="M66" i="4" s="1"/>
  <c r="B120" i="4"/>
  <c r="M120" i="4" s="1" a="1"/>
  <c r="M120" i="4" s="1"/>
  <c r="B37" i="4"/>
  <c r="M37" i="4" s="1" a="1"/>
  <c r="M37" i="4" s="1"/>
  <c r="B123" i="4"/>
  <c r="M123" i="4" s="1" a="1"/>
  <c r="M123" i="4" s="1"/>
  <c r="B24" i="4"/>
  <c r="M24" i="4" s="1" a="1"/>
  <c r="M24" i="4" s="1"/>
  <c r="B26" i="4"/>
  <c r="M26" i="4" s="1" a="1"/>
  <c r="M26" i="4" s="1"/>
  <c r="B38" i="4"/>
  <c r="M38" i="4" s="1" a="1"/>
  <c r="M38" i="4" s="1"/>
  <c r="B51" i="4"/>
  <c r="M51" i="4" s="1" a="1"/>
  <c r="M51" i="4" s="1"/>
  <c r="B33" i="4"/>
  <c r="M33" i="4" s="1" a="1"/>
  <c r="M33" i="4" s="1"/>
  <c r="B107" i="4"/>
  <c r="M107" i="4" s="1" a="1"/>
  <c r="M107" i="4" s="1"/>
  <c r="B133" i="4"/>
  <c r="M133" i="4" s="1" a="1"/>
  <c r="M133" i="4" s="1"/>
  <c r="B27" i="4"/>
  <c r="M27" i="4" s="1" a="1"/>
  <c r="M27" i="4" s="1"/>
  <c r="B105" i="4"/>
  <c r="M105" i="4" s="1" a="1"/>
  <c r="M105" i="4" s="1"/>
  <c r="B203" i="4"/>
  <c r="M203" i="4" s="1" a="1"/>
  <c r="M203" i="4" s="1"/>
  <c r="B116" i="4"/>
  <c r="M116" i="4" s="1" a="1"/>
  <c r="M116" i="4" s="1"/>
  <c r="B141" i="4"/>
  <c r="M141" i="4" s="1" a="1"/>
  <c r="M141" i="4" s="1"/>
  <c r="B154" i="4"/>
  <c r="M154" i="4" s="1" a="1"/>
  <c r="M154" i="4" s="1"/>
  <c r="B114" i="4"/>
  <c r="M114" i="4" s="1" a="1"/>
  <c r="M114" i="4" s="1"/>
  <c r="B18" i="4"/>
  <c r="M18" i="4" s="1" a="1"/>
  <c r="M18" i="4" s="1"/>
  <c r="B121" i="4"/>
  <c r="M121" i="4" s="1" a="1"/>
  <c r="M121" i="4" s="1"/>
  <c r="B168" i="4"/>
  <c r="M168" i="4" s="1" a="1"/>
  <c r="M168" i="4" s="1"/>
  <c r="B47" i="4"/>
  <c r="M47" i="4" s="1" a="1"/>
  <c r="M47" i="4" s="1"/>
  <c r="B93" i="4"/>
  <c r="M93" i="4" s="1" a="1"/>
  <c r="M93" i="4" s="1"/>
  <c r="B65" i="4"/>
  <c r="M65" i="4" s="1" a="1"/>
  <c r="M65" i="4" s="1"/>
  <c r="B117" i="4"/>
  <c r="M117" i="4" s="1" a="1"/>
  <c r="M117" i="4" s="1"/>
  <c r="B95" i="4"/>
  <c r="M95" i="4" s="1" a="1"/>
  <c r="M95" i="4" s="1"/>
  <c r="B110" i="4"/>
  <c r="M110" i="4" s="1" a="1"/>
  <c r="M110" i="4" s="1"/>
  <c r="B202" i="4"/>
  <c r="M202" i="4" s="1" a="1"/>
  <c r="M202" i="4" s="1"/>
  <c r="F166" i="4"/>
  <c r="I166" i="4" s="1"/>
  <c r="F199" i="4"/>
  <c r="I199" i="4" s="1"/>
  <c r="F98" i="4"/>
  <c r="I98" i="4" s="1"/>
  <c r="F132" i="4"/>
  <c r="I132" i="4" s="1"/>
  <c r="F113" i="4"/>
  <c r="I113" i="4" s="1"/>
  <c r="F52" i="4"/>
  <c r="I52" i="4" s="1"/>
  <c r="F50" i="4"/>
  <c r="I50" i="4" s="1"/>
  <c r="F175" i="4"/>
  <c r="I175" i="4" s="1"/>
  <c r="F92" i="4"/>
  <c r="I92" i="4" s="1"/>
  <c r="F167" i="4"/>
  <c r="I167" i="4" s="1"/>
  <c r="F9" i="4"/>
  <c r="I9" i="4" s="1"/>
  <c r="F31" i="4"/>
  <c r="I31" i="4" s="1"/>
  <c r="F172" i="4"/>
  <c r="I172" i="4" s="1"/>
  <c r="F89" i="4"/>
  <c r="I89" i="4" s="1"/>
  <c r="F186" i="4"/>
  <c r="I186" i="4" s="1"/>
  <c r="F62" i="4"/>
  <c r="I62" i="4" s="1"/>
  <c r="G145" i="4"/>
  <c r="J145" i="4" s="1"/>
  <c r="G40" i="4"/>
  <c r="J40" i="4" s="1"/>
  <c r="G144" i="4"/>
  <c r="J144" i="4" s="1"/>
  <c r="G178" i="4"/>
  <c r="J178" i="4" s="1"/>
  <c r="G197" i="4"/>
  <c r="J197" i="4" s="1"/>
  <c r="G177" i="4"/>
  <c r="J177" i="4" s="1"/>
  <c r="G158" i="4"/>
  <c r="J158" i="4" s="1"/>
  <c r="G193" i="4"/>
  <c r="J193" i="4" s="1"/>
  <c r="G48" i="4"/>
  <c r="J48" i="4" s="1"/>
  <c r="G156" i="4"/>
  <c r="J156" i="4" s="1"/>
  <c r="G11" i="4"/>
  <c r="J11" i="4" s="1"/>
  <c r="G122" i="4"/>
  <c r="J122" i="4" s="1"/>
  <c r="G84" i="4"/>
  <c r="J84" i="4" s="1"/>
  <c r="G106" i="4"/>
  <c r="J106" i="4" s="1"/>
  <c r="G5" i="4"/>
  <c r="J5" i="4" s="1"/>
  <c r="G146" i="4"/>
  <c r="J146" i="4" s="1"/>
  <c r="G16" i="4"/>
  <c r="J16" i="4" s="1"/>
  <c r="I87" i="4"/>
  <c r="F80" i="4"/>
  <c r="I80" i="4" s="1"/>
  <c r="F138" i="4"/>
  <c r="I138" i="4" s="1"/>
  <c r="F97" i="4"/>
  <c r="I97" i="4" s="1"/>
  <c r="F184" i="4"/>
  <c r="I184" i="4" s="1"/>
  <c r="F53" i="4"/>
  <c r="I53" i="4" s="1"/>
  <c r="F194" i="4"/>
  <c r="I194" i="4" s="1"/>
  <c r="F85" i="4"/>
  <c r="I85" i="4" s="1"/>
  <c r="F77" i="4"/>
  <c r="I77" i="4" s="1"/>
  <c r="F108" i="4"/>
  <c r="I108" i="4" s="1"/>
  <c r="F124" i="4"/>
  <c r="I124" i="4" s="1"/>
  <c r="F8" i="4"/>
  <c r="I8" i="4" s="1"/>
  <c r="F115" i="4"/>
  <c r="I115" i="4" s="1"/>
  <c r="F73" i="4"/>
  <c r="I73" i="4" s="1"/>
  <c r="F44" i="4"/>
  <c r="I44" i="4" s="1"/>
  <c r="F180" i="4"/>
  <c r="I180" i="4" s="1"/>
  <c r="F101" i="4"/>
  <c r="I101" i="4" s="1"/>
  <c r="G204" i="4"/>
  <c r="J204" i="4" s="1"/>
  <c r="G68" i="4"/>
  <c r="J68" i="4" s="1"/>
  <c r="G159" i="4"/>
  <c r="J159" i="4" s="1"/>
  <c r="G56" i="4"/>
  <c r="J56" i="4" s="1"/>
  <c r="G131" i="4"/>
  <c r="J131" i="4" s="1"/>
  <c r="G109" i="4"/>
  <c r="J109" i="4" s="1"/>
  <c r="G164" i="4"/>
  <c r="J164" i="4" s="1"/>
  <c r="G140" i="4"/>
  <c r="J140" i="4" s="1"/>
  <c r="G192" i="4"/>
  <c r="J192" i="4" s="1"/>
  <c r="G75" i="4"/>
  <c r="J75" i="4" s="1"/>
  <c r="G25" i="4"/>
  <c r="J25" i="4" s="1"/>
  <c r="G64" i="4"/>
  <c r="J64" i="4" s="1"/>
  <c r="G188" i="4"/>
  <c r="J188" i="4" s="1"/>
  <c r="G162" i="4"/>
  <c r="J162" i="4" s="1"/>
  <c r="G63" i="4"/>
  <c r="J63" i="4" s="1"/>
  <c r="G69" i="4"/>
  <c r="J69" i="4" s="1"/>
  <c r="G41" i="4"/>
  <c r="J41" i="4" s="1"/>
  <c r="F139" i="4"/>
  <c r="I139" i="4" s="1"/>
  <c r="F185" i="4"/>
  <c r="I185" i="4" s="1"/>
  <c r="F15" i="4"/>
  <c r="I15" i="4" s="1"/>
  <c r="F78" i="4"/>
  <c r="I78" i="4" s="1"/>
  <c r="F54" i="4"/>
  <c r="I54" i="4" s="1"/>
  <c r="F195" i="4"/>
  <c r="I195" i="4" s="1"/>
  <c r="F103" i="4"/>
  <c r="I103" i="4" s="1"/>
  <c r="F13" i="4"/>
  <c r="I13" i="4" s="1"/>
  <c r="F174" i="4"/>
  <c r="I174" i="4" s="1"/>
  <c r="F163" i="4"/>
  <c r="I163" i="4" s="1"/>
  <c r="F12" i="4"/>
  <c r="I12" i="4" s="1"/>
  <c r="F7" i="4"/>
  <c r="I7" i="4" s="1"/>
  <c r="F30" i="4"/>
  <c r="I30" i="4" s="1"/>
  <c r="F119" i="4"/>
  <c r="I119" i="4" s="1"/>
  <c r="F187" i="4"/>
  <c r="I187" i="4" s="1"/>
  <c r="F88" i="4"/>
  <c r="I88" i="4" s="1"/>
  <c r="F42" i="4"/>
  <c r="I42" i="4" s="1"/>
  <c r="G23" i="4"/>
  <c r="J23" i="4" s="1"/>
  <c r="G202" i="4"/>
  <c r="J202" i="4" s="1"/>
  <c r="G34" i="4"/>
  <c r="J34" i="4" s="1"/>
  <c r="G135" i="4"/>
  <c r="J135" i="4" s="1"/>
  <c r="G130" i="4"/>
  <c r="J130" i="4" s="1"/>
  <c r="G111" i="4"/>
  <c r="J111" i="4" s="1"/>
  <c r="G67" i="4"/>
  <c r="J67" i="4" s="1"/>
  <c r="G183" i="4"/>
  <c r="J183" i="4" s="1"/>
  <c r="G72" i="4"/>
  <c r="J72" i="4" s="1"/>
  <c r="G127" i="4"/>
  <c r="J127" i="4" s="1"/>
  <c r="G91" i="4"/>
  <c r="J91" i="4" s="1"/>
  <c r="G116" i="4"/>
  <c r="J116" i="4" s="1"/>
  <c r="G110" i="4"/>
  <c r="J110" i="4" s="1"/>
  <c r="G90" i="4"/>
  <c r="J90" i="4" s="1"/>
  <c r="G4" i="4"/>
  <c r="J4" i="4" s="1"/>
  <c r="G36" i="4"/>
  <c r="J36" i="4" s="1"/>
  <c r="G29" i="4"/>
  <c r="J29" i="4" s="1"/>
  <c r="F145" i="4"/>
  <c r="I145" i="4" s="1"/>
  <c r="F40" i="4"/>
  <c r="I40" i="4" s="1"/>
  <c r="F144" i="4"/>
  <c r="I144" i="4" s="1"/>
  <c r="F178" i="4"/>
  <c r="I178" i="4" s="1"/>
  <c r="F197" i="4"/>
  <c r="I197" i="4" s="1"/>
  <c r="F177" i="4"/>
  <c r="I177" i="4" s="1"/>
  <c r="F158" i="4"/>
  <c r="I158" i="4" s="1"/>
  <c r="F193" i="4"/>
  <c r="I193" i="4" s="1"/>
  <c r="F48" i="4"/>
  <c r="I48" i="4" s="1"/>
  <c r="F156" i="4"/>
  <c r="I156" i="4" s="1"/>
  <c r="F11" i="4"/>
  <c r="I11" i="4" s="1"/>
  <c r="F122" i="4"/>
  <c r="I122" i="4" s="1"/>
  <c r="F84" i="4"/>
  <c r="I84" i="4" s="1"/>
  <c r="F106" i="4"/>
  <c r="I106" i="4" s="1"/>
  <c r="F5" i="4"/>
  <c r="I5" i="4" s="1"/>
  <c r="F146" i="4"/>
  <c r="I146" i="4" s="1"/>
  <c r="F16" i="4"/>
  <c r="I16" i="4" s="1"/>
  <c r="G14" i="4"/>
  <c r="J14" i="4" s="1"/>
  <c r="G58" i="4"/>
  <c r="J58" i="4" s="1"/>
  <c r="G137" i="4"/>
  <c r="J137" i="4" s="1"/>
  <c r="G134" i="4"/>
  <c r="J134" i="4" s="1"/>
  <c r="G129" i="4"/>
  <c r="J129" i="4" s="1"/>
  <c r="G148" i="4"/>
  <c r="J148" i="4" s="1"/>
  <c r="G32" i="4"/>
  <c r="J32" i="4" s="1"/>
  <c r="G49" i="4"/>
  <c r="J49" i="4" s="1"/>
  <c r="G76" i="4"/>
  <c r="J76" i="4" s="1"/>
  <c r="G126" i="4"/>
  <c r="J126" i="4" s="1"/>
  <c r="G149" i="4"/>
  <c r="J149" i="4" s="1"/>
  <c r="G6" i="4"/>
  <c r="J6" i="4" s="1"/>
  <c r="G74" i="4"/>
  <c r="J74" i="4" s="1"/>
  <c r="G45" i="4"/>
  <c r="J45" i="4" s="1"/>
  <c r="G171" i="4"/>
  <c r="J171" i="4" s="1"/>
  <c r="G150" i="4"/>
  <c r="J150" i="4" s="1"/>
  <c r="G152" i="4"/>
  <c r="J152" i="4" s="1"/>
  <c r="F204" i="4"/>
  <c r="I204" i="4" s="1"/>
  <c r="F68" i="4"/>
  <c r="I68" i="4" s="1"/>
  <c r="F159" i="4"/>
  <c r="I159" i="4" s="1"/>
  <c r="F56" i="4"/>
  <c r="I56" i="4" s="1"/>
  <c r="F131" i="4"/>
  <c r="I131" i="4" s="1"/>
  <c r="F109" i="4"/>
  <c r="I109" i="4" s="1"/>
  <c r="F164" i="4"/>
  <c r="I164" i="4" s="1"/>
  <c r="F140" i="4"/>
  <c r="I140" i="4" s="1"/>
  <c r="F192" i="4"/>
  <c r="I192" i="4" s="1"/>
  <c r="F75" i="4"/>
  <c r="I75" i="4" s="1"/>
  <c r="F25" i="4"/>
  <c r="I25" i="4" s="1"/>
  <c r="F64" i="4"/>
  <c r="I64" i="4" s="1"/>
  <c r="F188" i="4"/>
  <c r="I188" i="4" s="1"/>
  <c r="F162" i="4"/>
  <c r="I162" i="4" s="1"/>
  <c r="F63" i="4"/>
  <c r="I63" i="4" s="1"/>
  <c r="F69" i="4"/>
  <c r="I69" i="4" s="1"/>
  <c r="F41" i="4"/>
  <c r="I41" i="4" s="1"/>
  <c r="G100" i="4"/>
  <c r="J100" i="4" s="1"/>
  <c r="G112" i="4"/>
  <c r="J112" i="4" s="1"/>
  <c r="G79" i="4"/>
  <c r="J79" i="4" s="1"/>
  <c r="G55" i="4"/>
  <c r="J55" i="4" s="1"/>
  <c r="G21" i="4"/>
  <c r="J21" i="4" s="1"/>
  <c r="G39" i="4"/>
  <c r="J39" i="4" s="1"/>
  <c r="G176" i="4"/>
  <c r="J176" i="4" s="1"/>
  <c r="G20" i="4"/>
  <c r="J20" i="4" s="1"/>
  <c r="G104" i="4"/>
  <c r="J104" i="4" s="1"/>
  <c r="G125" i="4"/>
  <c r="J125" i="4" s="1"/>
  <c r="G10" i="4"/>
  <c r="J10" i="4" s="1"/>
  <c r="G190" i="4"/>
  <c r="J190" i="4" s="1"/>
  <c r="G182" i="4"/>
  <c r="J182" i="4" s="1"/>
  <c r="G142" i="4"/>
  <c r="J142" i="4" s="1"/>
  <c r="G102" i="4"/>
  <c r="J102" i="4" s="1"/>
  <c r="G161" i="4"/>
  <c r="J161" i="4" s="1"/>
  <c r="G160" i="4"/>
  <c r="J160" i="4" s="1"/>
  <c r="F23" i="4"/>
  <c r="I23" i="4" s="1"/>
  <c r="F202" i="4"/>
  <c r="I202" i="4" s="1"/>
  <c r="F34" i="4"/>
  <c r="I34" i="4" s="1"/>
  <c r="F135" i="4"/>
  <c r="I135" i="4" s="1"/>
  <c r="F130" i="4"/>
  <c r="I130" i="4" s="1"/>
  <c r="F111" i="4"/>
  <c r="I111" i="4" s="1"/>
  <c r="F67" i="4"/>
  <c r="I67" i="4" s="1"/>
  <c r="F183" i="4"/>
  <c r="I183" i="4" s="1"/>
  <c r="F72" i="4"/>
  <c r="I72" i="4" s="1"/>
  <c r="F127" i="4"/>
  <c r="I127" i="4" s="1"/>
  <c r="F91" i="4"/>
  <c r="I91" i="4" s="1"/>
  <c r="F116" i="4"/>
  <c r="I116" i="4" s="1"/>
  <c r="F110" i="4"/>
  <c r="I110" i="4" s="1"/>
  <c r="F90" i="4"/>
  <c r="I90" i="4" s="1"/>
  <c r="F4" i="4"/>
  <c r="I4" i="4" s="1"/>
  <c r="F36" i="4"/>
  <c r="I36" i="4" s="1"/>
  <c r="F29" i="4"/>
  <c r="I29" i="4" s="1"/>
  <c r="G99" i="4"/>
  <c r="J99" i="4" s="1"/>
  <c r="G201" i="4"/>
  <c r="J201" i="4" s="1"/>
  <c r="G136" i="4"/>
  <c r="J136" i="4" s="1"/>
  <c r="G96" i="4"/>
  <c r="J96" i="4" s="1"/>
  <c r="G83" i="4"/>
  <c r="J83" i="4" s="1"/>
  <c r="G95" i="4"/>
  <c r="J95" i="4" s="1"/>
  <c r="G117" i="4"/>
  <c r="J117" i="4" s="1"/>
  <c r="G65" i="4"/>
  <c r="J65" i="4" s="1"/>
  <c r="G93" i="4"/>
  <c r="J93" i="4" s="1"/>
  <c r="G47" i="4"/>
  <c r="J47" i="4" s="1"/>
  <c r="G168" i="4"/>
  <c r="J168" i="4" s="1"/>
  <c r="G121" i="4"/>
  <c r="J121" i="4" s="1"/>
  <c r="G18" i="4"/>
  <c r="J18" i="4" s="1"/>
  <c r="G114" i="4"/>
  <c r="J114" i="4" s="1"/>
  <c r="G154" i="4"/>
  <c r="J154" i="4" s="1"/>
  <c r="G141" i="4"/>
  <c r="J141" i="4" s="1"/>
  <c r="G82" i="4"/>
  <c r="J82" i="4" s="1"/>
  <c r="F14" i="4"/>
  <c r="I14" i="4" s="1"/>
  <c r="F58" i="4"/>
  <c r="I58" i="4" s="1"/>
  <c r="F137" i="4"/>
  <c r="I137" i="4" s="1"/>
  <c r="F134" i="4"/>
  <c r="I134" i="4" s="1"/>
  <c r="F129" i="4"/>
  <c r="I129" i="4" s="1"/>
  <c r="F148" i="4"/>
  <c r="I148" i="4" s="1"/>
  <c r="F32" i="4"/>
  <c r="I32" i="4" s="1"/>
  <c r="F49" i="4"/>
  <c r="I49" i="4" s="1"/>
  <c r="F76" i="4"/>
  <c r="I76" i="4" s="1"/>
  <c r="F126" i="4"/>
  <c r="I126" i="4" s="1"/>
  <c r="F149" i="4"/>
  <c r="I149" i="4" s="1"/>
  <c r="F6" i="4"/>
  <c r="I6" i="4" s="1"/>
  <c r="F74" i="4"/>
  <c r="I74" i="4" s="1"/>
  <c r="F45" i="4"/>
  <c r="I45" i="4" s="1"/>
  <c r="F171" i="4"/>
  <c r="I171" i="4" s="1"/>
  <c r="F150" i="4"/>
  <c r="I150" i="4" s="1"/>
  <c r="F152" i="4"/>
  <c r="I152" i="4" s="1"/>
  <c r="G203" i="4"/>
  <c r="J203" i="4" s="1"/>
  <c r="G105" i="4"/>
  <c r="J105" i="4" s="1"/>
  <c r="G27" i="4"/>
  <c r="J27" i="4" s="1"/>
  <c r="G133" i="4"/>
  <c r="J133" i="4" s="1"/>
  <c r="G107" i="4"/>
  <c r="J107" i="4" s="1"/>
  <c r="G33" i="4"/>
  <c r="J33" i="4" s="1"/>
  <c r="G51" i="4"/>
  <c r="J51" i="4" s="1"/>
  <c r="G38" i="4"/>
  <c r="J38" i="4" s="1"/>
  <c r="G26" i="4"/>
  <c r="J26" i="4" s="1"/>
  <c r="G24" i="4"/>
  <c r="J24" i="4" s="1"/>
  <c r="G123" i="4"/>
  <c r="J123" i="4" s="1"/>
  <c r="G37" i="4"/>
  <c r="J37" i="4" s="1"/>
  <c r="G120" i="4"/>
  <c r="J120" i="4" s="1"/>
  <c r="G66" i="4"/>
  <c r="J66" i="4" s="1"/>
  <c r="G153" i="4"/>
  <c r="J153" i="4" s="1"/>
  <c r="G59" i="4"/>
  <c r="J59" i="4" s="1"/>
  <c r="G28" i="4"/>
  <c r="J28" i="4" s="1"/>
  <c r="F100" i="4"/>
  <c r="I100" i="4" s="1"/>
  <c r="F112" i="4"/>
  <c r="I112" i="4" s="1"/>
  <c r="F79" i="4"/>
  <c r="I79" i="4" s="1"/>
  <c r="F55" i="4"/>
  <c r="I55" i="4" s="1"/>
  <c r="F21" i="4"/>
  <c r="I21" i="4" s="1"/>
  <c r="F39" i="4"/>
  <c r="I39" i="4" s="1"/>
  <c r="F176" i="4"/>
  <c r="I176" i="4" s="1"/>
  <c r="F20" i="4"/>
  <c r="I20" i="4" s="1"/>
  <c r="F104" i="4"/>
  <c r="I104" i="4" s="1"/>
  <c r="F125" i="4"/>
  <c r="I125" i="4" s="1"/>
  <c r="F10" i="4"/>
  <c r="I10" i="4" s="1"/>
  <c r="F190" i="4"/>
  <c r="I190" i="4" s="1"/>
  <c r="F182" i="4"/>
  <c r="I182" i="4" s="1"/>
  <c r="F142" i="4"/>
  <c r="I142" i="4" s="1"/>
  <c r="F102" i="4"/>
  <c r="I102" i="4" s="1"/>
  <c r="F161" i="4"/>
  <c r="I161" i="4" s="1"/>
  <c r="F160" i="4"/>
  <c r="I160" i="4" s="1"/>
  <c r="G151" i="4"/>
  <c r="J151" i="4" s="1"/>
  <c r="G200" i="4"/>
  <c r="J200" i="4" s="1"/>
  <c r="G198" i="4"/>
  <c r="J198" i="4" s="1"/>
  <c r="G86" i="4"/>
  <c r="J86" i="4" s="1"/>
  <c r="G165" i="4"/>
  <c r="J165" i="4" s="1"/>
  <c r="G94" i="4"/>
  <c r="J94" i="4" s="1"/>
  <c r="G147" i="4"/>
  <c r="J147" i="4" s="1"/>
  <c r="G128" i="4"/>
  <c r="J128" i="4" s="1"/>
  <c r="G191" i="4"/>
  <c r="J191" i="4" s="1"/>
  <c r="G155" i="4"/>
  <c r="J155" i="4" s="1"/>
  <c r="G46" i="4"/>
  <c r="J46" i="4" s="1"/>
  <c r="G189" i="4"/>
  <c r="J189" i="4" s="1"/>
  <c r="G143" i="4"/>
  <c r="J143" i="4" s="1"/>
  <c r="G17" i="4"/>
  <c r="J17" i="4" s="1"/>
  <c r="G170" i="4"/>
  <c r="J170" i="4" s="1"/>
  <c r="G179" i="4"/>
  <c r="J179" i="4" s="1"/>
  <c r="F99" i="4"/>
  <c r="I99" i="4" s="1"/>
  <c r="F201" i="4"/>
  <c r="I201" i="4" s="1"/>
  <c r="F136" i="4"/>
  <c r="I136" i="4" s="1"/>
  <c r="F96" i="4"/>
  <c r="I96" i="4" s="1"/>
  <c r="F83" i="4"/>
  <c r="I83" i="4" s="1"/>
  <c r="F95" i="4"/>
  <c r="I95" i="4" s="1"/>
  <c r="F117" i="4"/>
  <c r="I117" i="4" s="1"/>
  <c r="F65" i="4"/>
  <c r="I65" i="4" s="1"/>
  <c r="F93" i="4"/>
  <c r="I93" i="4" s="1"/>
  <c r="F47" i="4"/>
  <c r="I47" i="4" s="1"/>
  <c r="F168" i="4"/>
  <c r="I168" i="4" s="1"/>
  <c r="F121" i="4"/>
  <c r="I121" i="4" s="1"/>
  <c r="F18" i="4"/>
  <c r="I18" i="4" s="1"/>
  <c r="F114" i="4"/>
  <c r="I114" i="4" s="1"/>
  <c r="F154" i="4"/>
  <c r="I154" i="4" s="1"/>
  <c r="F141" i="4"/>
  <c r="I141" i="4" s="1"/>
  <c r="F82" i="4"/>
  <c r="I82" i="4" s="1"/>
  <c r="G169" i="4"/>
  <c r="J169" i="4" s="1"/>
  <c r="G71" i="4"/>
  <c r="J71" i="4" s="1"/>
  <c r="G57" i="4"/>
  <c r="J57" i="4" s="1"/>
  <c r="G22" i="4"/>
  <c r="J22" i="4" s="1"/>
  <c r="G196" i="4"/>
  <c r="J196" i="4" s="1"/>
  <c r="G35" i="4"/>
  <c r="J35" i="4" s="1"/>
  <c r="G157" i="4"/>
  <c r="J157" i="4" s="1"/>
  <c r="G61" i="4"/>
  <c r="J61" i="4" s="1"/>
  <c r="G173" i="4"/>
  <c r="J173" i="4" s="1"/>
  <c r="G19" i="4"/>
  <c r="J19" i="4" s="1"/>
  <c r="G60" i="4"/>
  <c r="J60" i="4" s="1"/>
  <c r="G81" i="4"/>
  <c r="J81" i="4" s="1"/>
  <c r="G181" i="4"/>
  <c r="J181" i="4" s="1"/>
  <c r="G118" i="4"/>
  <c r="J118" i="4" s="1"/>
  <c r="G70" i="4"/>
  <c r="J70" i="4" s="1"/>
  <c r="G43" i="4"/>
  <c r="J43" i="4" s="1"/>
  <c r="F203" i="4"/>
  <c r="I203" i="4" s="1"/>
  <c r="F105" i="4"/>
  <c r="I105" i="4" s="1"/>
  <c r="F27" i="4"/>
  <c r="I27" i="4" s="1"/>
  <c r="F133" i="4"/>
  <c r="I133" i="4" s="1"/>
  <c r="F107" i="4"/>
  <c r="I107" i="4" s="1"/>
  <c r="F33" i="4"/>
  <c r="I33" i="4" s="1"/>
  <c r="F51" i="4"/>
  <c r="I51" i="4" s="1"/>
  <c r="F38" i="4"/>
  <c r="I38" i="4" s="1"/>
  <c r="F26" i="4"/>
  <c r="I26" i="4" s="1"/>
  <c r="F24" i="4"/>
  <c r="I24" i="4" s="1"/>
  <c r="F123" i="4"/>
  <c r="I123" i="4" s="1"/>
  <c r="F37" i="4"/>
  <c r="I37" i="4" s="1"/>
  <c r="F120" i="4"/>
  <c r="I120" i="4" s="1"/>
  <c r="F66" i="4"/>
  <c r="I66" i="4" s="1"/>
  <c r="F153" i="4"/>
  <c r="I153" i="4" s="1"/>
  <c r="F59" i="4"/>
  <c r="I59" i="4" s="1"/>
  <c r="F28" i="4"/>
  <c r="I28" i="4" s="1"/>
  <c r="G166" i="4"/>
  <c r="J166" i="4" s="1"/>
  <c r="G199" i="4"/>
  <c r="J199" i="4" s="1"/>
  <c r="G98" i="4"/>
  <c r="J98" i="4" s="1"/>
  <c r="G132" i="4"/>
  <c r="J132" i="4" s="1"/>
  <c r="G113" i="4"/>
  <c r="J113" i="4" s="1"/>
  <c r="G52" i="4"/>
  <c r="J52" i="4" s="1"/>
  <c r="G50" i="4"/>
  <c r="J50" i="4" s="1"/>
  <c r="G175" i="4"/>
  <c r="J175" i="4" s="1"/>
  <c r="G92" i="4"/>
  <c r="J92" i="4" s="1"/>
  <c r="G167" i="4"/>
  <c r="J167" i="4" s="1"/>
  <c r="G9" i="4"/>
  <c r="J9" i="4" s="1"/>
  <c r="G31" i="4"/>
  <c r="J31" i="4" s="1"/>
  <c r="G172" i="4"/>
  <c r="J172" i="4" s="1"/>
  <c r="G89" i="4"/>
  <c r="J89" i="4" s="1"/>
  <c r="G186" i="4"/>
  <c r="J186" i="4" s="1"/>
  <c r="G62" i="4"/>
  <c r="J62" i="4" s="1"/>
  <c r="F151" i="4"/>
  <c r="I151" i="4" s="1"/>
  <c r="F200" i="4"/>
  <c r="I200" i="4" s="1"/>
  <c r="F198" i="4"/>
  <c r="I198" i="4" s="1"/>
  <c r="F86" i="4"/>
  <c r="I86" i="4" s="1"/>
  <c r="F165" i="4"/>
  <c r="I165" i="4" s="1"/>
  <c r="F94" i="4"/>
  <c r="I94" i="4" s="1"/>
  <c r="F147" i="4"/>
  <c r="I147" i="4" s="1"/>
  <c r="F128" i="4"/>
  <c r="I128" i="4" s="1"/>
  <c r="F191" i="4"/>
  <c r="I191" i="4" s="1"/>
  <c r="F155" i="4"/>
  <c r="I155" i="4" s="1"/>
  <c r="F46" i="4"/>
  <c r="I46" i="4" s="1"/>
  <c r="F189" i="4"/>
  <c r="I189" i="4" s="1"/>
  <c r="F143" i="4"/>
  <c r="I143" i="4" s="1"/>
  <c r="F17" i="4"/>
  <c r="I17" i="4" s="1"/>
  <c r="F170" i="4"/>
  <c r="I170" i="4" s="1"/>
  <c r="F179" i="4"/>
  <c r="I179" i="4" s="1"/>
  <c r="G87" i="4"/>
  <c r="J87" i="4" s="1"/>
  <c r="G80" i="4"/>
  <c r="J80" i="4" s="1"/>
  <c r="G138" i="4"/>
  <c r="J138" i="4" s="1"/>
  <c r="G97" i="4"/>
  <c r="J97" i="4" s="1"/>
  <c r="G184" i="4"/>
  <c r="J184" i="4" s="1"/>
  <c r="G53" i="4"/>
  <c r="J53" i="4" s="1"/>
  <c r="G194" i="4"/>
  <c r="J194" i="4" s="1"/>
  <c r="G85" i="4"/>
  <c r="J85" i="4" s="1"/>
  <c r="G77" i="4"/>
  <c r="J77" i="4" s="1"/>
  <c r="G108" i="4"/>
  <c r="J108" i="4" s="1"/>
  <c r="G124" i="4"/>
  <c r="J124" i="4" s="1"/>
  <c r="G8" i="4"/>
  <c r="J8" i="4" s="1"/>
  <c r="G115" i="4"/>
  <c r="J115" i="4" s="1"/>
  <c r="G73" i="4"/>
  <c r="J73" i="4" s="1"/>
  <c r="G44" i="4"/>
  <c r="J44" i="4" s="1"/>
  <c r="G180" i="4"/>
  <c r="J180" i="4" s="1"/>
  <c r="G101" i="4"/>
  <c r="J101" i="4" s="1"/>
  <c r="F169" i="4"/>
  <c r="I169" i="4" s="1"/>
  <c r="F71" i="4"/>
  <c r="I71" i="4" s="1"/>
  <c r="F57" i="4"/>
  <c r="I57" i="4" s="1"/>
  <c r="F22" i="4"/>
  <c r="I22" i="4" s="1"/>
  <c r="F196" i="4"/>
  <c r="I196" i="4" s="1"/>
  <c r="F35" i="4"/>
  <c r="I35" i="4" s="1"/>
  <c r="F157" i="4"/>
  <c r="I157" i="4" s="1"/>
  <c r="F61" i="4"/>
  <c r="I61" i="4" s="1"/>
  <c r="F173" i="4"/>
  <c r="I173" i="4" s="1"/>
  <c r="F19" i="4"/>
  <c r="I19" i="4" s="1"/>
  <c r="F60" i="4"/>
  <c r="I60" i="4" s="1"/>
  <c r="F81" i="4"/>
  <c r="I81" i="4" s="1"/>
  <c r="F181" i="4"/>
  <c r="I181" i="4" s="1"/>
  <c r="F118" i="4"/>
  <c r="I118" i="4" s="1"/>
  <c r="F70" i="4"/>
  <c r="I70" i="4" s="1"/>
  <c r="F43" i="4"/>
  <c r="I43" i="4" s="1"/>
  <c r="G139" i="4"/>
  <c r="J139" i="4" s="1"/>
  <c r="G185" i="4"/>
  <c r="J185" i="4" s="1"/>
  <c r="G15" i="4"/>
  <c r="J15" i="4" s="1"/>
  <c r="G78" i="4"/>
  <c r="J78" i="4" s="1"/>
  <c r="G54" i="4"/>
  <c r="J54" i="4" s="1"/>
  <c r="G195" i="4"/>
  <c r="J195" i="4" s="1"/>
  <c r="G103" i="4"/>
  <c r="J103" i="4" s="1"/>
  <c r="G13" i="4"/>
  <c r="J13" i="4" s="1"/>
  <c r="G174" i="4"/>
  <c r="J174" i="4" s="1"/>
  <c r="G163" i="4"/>
  <c r="J163" i="4" s="1"/>
  <c r="G12" i="4"/>
  <c r="J12" i="4" s="1"/>
  <c r="G7" i="4"/>
  <c r="J7" i="4" s="1"/>
  <c r="G30" i="4"/>
  <c r="J30" i="4" s="1"/>
  <c r="G119" i="4"/>
  <c r="J119" i="4" s="1"/>
  <c r="G187" i="4"/>
  <c r="J187" i="4" s="1"/>
  <c r="G88" i="4"/>
  <c r="J88" i="4" s="1"/>
  <c r="G42" i="4"/>
  <c r="J42" i="4" s="1"/>
  <c r="E108" i="4"/>
  <c r="H108" i="4" s="1"/>
  <c r="E42" i="4"/>
  <c r="H42" i="4" s="1"/>
  <c r="C18" i="4" l="1"/>
  <c r="D18" i="4" s="1"/>
  <c r="C114" i="4"/>
  <c r="D114" i="4" s="1"/>
  <c r="C26" i="4"/>
  <c r="D26" i="4" s="1"/>
  <c r="C86" i="4"/>
  <c r="D86" i="4" s="1"/>
  <c r="C179" i="4"/>
  <c r="D179" i="4" s="1"/>
  <c r="C61" i="4"/>
  <c r="D61" i="4" s="1"/>
  <c r="C166" i="4"/>
  <c r="D166" i="4" s="1"/>
  <c r="C172" i="4"/>
  <c r="D172" i="4" s="1"/>
  <c r="C194" i="4"/>
  <c r="D194" i="4" s="1"/>
  <c r="C83" i="4"/>
  <c r="D83" i="4" s="1"/>
  <c r="C7" i="4"/>
  <c r="D7" i="4" s="1"/>
  <c r="C197" i="4"/>
  <c r="D197" i="4" s="1"/>
  <c r="C16" i="4"/>
  <c r="D16" i="4" s="1"/>
  <c r="C75" i="4"/>
  <c r="D75" i="4" s="1"/>
  <c r="C137" i="4"/>
  <c r="D137" i="4" s="1"/>
  <c r="C171" i="4"/>
  <c r="D171" i="4" s="1"/>
  <c r="C176" i="4"/>
  <c r="D176" i="4" s="1"/>
  <c r="C154" i="4"/>
  <c r="D154" i="4" s="1"/>
  <c r="C24" i="4"/>
  <c r="D24" i="4" s="1"/>
  <c r="C165" i="4"/>
  <c r="D165" i="4" s="1"/>
  <c r="C135" i="4"/>
  <c r="D135" i="4" s="1"/>
  <c r="C173" i="4"/>
  <c r="D173" i="4" s="1"/>
  <c r="C199" i="4"/>
  <c r="D199" i="4" s="1"/>
  <c r="C89" i="4"/>
  <c r="D89" i="4" s="1"/>
  <c r="C85" i="4"/>
  <c r="D85" i="4" s="1"/>
  <c r="C139" i="4"/>
  <c r="D139" i="4" s="1"/>
  <c r="C30" i="4"/>
  <c r="D30" i="4" s="1"/>
  <c r="C177" i="4"/>
  <c r="D177" i="4" s="1"/>
  <c r="C183" i="4"/>
  <c r="D183" i="4" s="1"/>
  <c r="C25" i="4"/>
  <c r="D25" i="4" s="1"/>
  <c r="C134" i="4"/>
  <c r="D134" i="4" s="1"/>
  <c r="C150" i="4"/>
  <c r="D150" i="4" s="1"/>
  <c r="C20" i="4"/>
  <c r="D20" i="4" s="1"/>
  <c r="C141" i="4"/>
  <c r="D141" i="4" s="1"/>
  <c r="C123" i="4"/>
  <c r="D123" i="4" s="1"/>
  <c r="C94" i="4"/>
  <c r="D94" i="4" s="1"/>
  <c r="C91" i="4"/>
  <c r="D91" i="4" s="1"/>
  <c r="C19" i="4"/>
  <c r="D19" i="4" s="1"/>
  <c r="C98" i="4"/>
  <c r="D98" i="4" s="1"/>
  <c r="C186" i="4"/>
  <c r="D186" i="4" s="1"/>
  <c r="C77" i="4"/>
  <c r="D77" i="4" s="1"/>
  <c r="C185" i="4"/>
  <c r="D185" i="4" s="1"/>
  <c r="C119" i="4"/>
  <c r="D119" i="4" s="1"/>
  <c r="C158" i="4"/>
  <c r="D158" i="4" s="1"/>
  <c r="C96" i="4"/>
  <c r="D96" i="4" s="1"/>
  <c r="C64" i="4"/>
  <c r="D64" i="4" s="1"/>
  <c r="C129" i="4"/>
  <c r="D129" i="4" s="1"/>
  <c r="C152" i="4"/>
  <c r="D152" i="4" s="1"/>
  <c r="C104" i="4"/>
  <c r="D104" i="4" s="1"/>
  <c r="C116" i="4"/>
  <c r="D116" i="4" s="1"/>
  <c r="C37" i="4"/>
  <c r="D37" i="4" s="1"/>
  <c r="C147" i="4"/>
  <c r="D147" i="4" s="1"/>
  <c r="C99" i="4"/>
  <c r="D99" i="4" s="1"/>
  <c r="C60" i="4"/>
  <c r="D60" i="4" s="1"/>
  <c r="C132" i="4"/>
  <c r="D132" i="4" s="1"/>
  <c r="C62" i="4"/>
  <c r="D62" i="4" s="1"/>
  <c r="C108" i="4"/>
  <c r="D108" i="4" s="1"/>
  <c r="C15" i="4"/>
  <c r="D15" i="4" s="1"/>
  <c r="C187" i="4"/>
  <c r="D187" i="4" s="1"/>
  <c r="C193" i="4"/>
  <c r="D193" i="4" s="1"/>
  <c r="C204" i="4"/>
  <c r="D204" i="4" s="1"/>
  <c r="C188" i="4"/>
  <c r="D188" i="4" s="1"/>
  <c r="C148" i="4"/>
  <c r="D148" i="4" s="1"/>
  <c r="C34" i="4"/>
  <c r="D34" i="4" s="1"/>
  <c r="C125" i="4"/>
  <c r="D125" i="4" s="1"/>
  <c r="C127" i="4"/>
  <c r="D127" i="4" s="1"/>
  <c r="C124" i="4"/>
  <c r="D124" i="4" s="1"/>
  <c r="C78" i="4"/>
  <c r="D78" i="4" s="1"/>
  <c r="C88" i="4"/>
  <c r="D88" i="4" s="1"/>
  <c r="C48" i="4"/>
  <c r="D48" i="4" s="1"/>
  <c r="C68" i="4"/>
  <c r="D68" i="4" s="1"/>
  <c r="C162" i="4"/>
  <c r="D162" i="4" s="1"/>
  <c r="C32" i="4"/>
  <c r="D32" i="4" s="1"/>
  <c r="C130" i="4"/>
  <c r="D130" i="4" s="1"/>
  <c r="C10" i="4"/>
  <c r="D10" i="4" s="1"/>
  <c r="C117" i="4"/>
  <c r="D117" i="4" s="1"/>
  <c r="C66" i="4"/>
  <c r="D66" i="4" s="1"/>
  <c r="C191" i="4"/>
  <c r="D191" i="4" s="1"/>
  <c r="C169" i="4"/>
  <c r="D169" i="4" s="1"/>
  <c r="C181" i="4"/>
  <c r="D181" i="4" s="1"/>
  <c r="C52" i="4"/>
  <c r="D52" i="4" s="1"/>
  <c r="C136" i="4"/>
  <c r="D136" i="4" s="1"/>
  <c r="C8" i="4"/>
  <c r="D8" i="4" s="1"/>
  <c r="C54" i="4"/>
  <c r="D54" i="4" s="1"/>
  <c r="C42" i="4"/>
  <c r="D42" i="4" s="1"/>
  <c r="C156" i="4"/>
  <c r="D156" i="4" s="1"/>
  <c r="C159" i="4"/>
  <c r="D159" i="4" s="1"/>
  <c r="C63" i="4"/>
  <c r="D63" i="4" s="1"/>
  <c r="C49" i="4"/>
  <c r="D49" i="4" s="1"/>
  <c r="C36" i="4"/>
  <c r="D36" i="4" s="1"/>
  <c r="C190" i="4"/>
  <c r="D190" i="4" s="1"/>
  <c r="C105" i="4"/>
  <c r="D105" i="4" s="1"/>
  <c r="C65" i="4"/>
  <c r="D65" i="4" s="1"/>
  <c r="C27" i="4"/>
  <c r="D27" i="4" s="1"/>
  <c r="C153" i="4"/>
  <c r="D153" i="4" s="1"/>
  <c r="C155" i="4"/>
  <c r="D155" i="4" s="1"/>
  <c r="C71" i="4"/>
  <c r="D71" i="4" s="1"/>
  <c r="C118" i="4"/>
  <c r="D118" i="4" s="1"/>
  <c r="C50" i="4"/>
  <c r="D50" i="4" s="1"/>
  <c r="C115" i="4"/>
  <c r="D115" i="4" s="1"/>
  <c r="C195" i="4"/>
  <c r="D195" i="4" s="1"/>
  <c r="C67" i="4"/>
  <c r="D67" i="4" s="1"/>
  <c r="C11" i="4"/>
  <c r="D11" i="4" s="1"/>
  <c r="C56" i="4"/>
  <c r="D56" i="4" s="1"/>
  <c r="C69" i="4"/>
  <c r="D69" i="4" s="1"/>
  <c r="C76" i="4"/>
  <c r="D76" i="4" s="1"/>
  <c r="C100" i="4"/>
  <c r="D100" i="4" s="1"/>
  <c r="C182" i="4"/>
  <c r="D182" i="4" s="1"/>
  <c r="C133" i="4"/>
  <c r="D133" i="4" s="1"/>
  <c r="C59" i="4"/>
  <c r="D59" i="4" s="1"/>
  <c r="C46" i="4"/>
  <c r="D46" i="4" s="1"/>
  <c r="C57" i="4"/>
  <c r="D57" i="4" s="1"/>
  <c r="C70" i="4"/>
  <c r="D70" i="4" s="1"/>
  <c r="C175" i="4"/>
  <c r="D175" i="4" s="1"/>
  <c r="C80" i="4"/>
  <c r="D80" i="4" s="1"/>
  <c r="C73" i="4"/>
  <c r="D73" i="4" s="1"/>
  <c r="C103" i="4"/>
  <c r="D103" i="4" s="1"/>
  <c r="C201" i="4"/>
  <c r="D201" i="4" s="1"/>
  <c r="C122" i="4"/>
  <c r="D122" i="4" s="1"/>
  <c r="C131" i="4"/>
  <c r="D131" i="4" s="1"/>
  <c r="C41" i="4"/>
  <c r="D41" i="4" s="1"/>
  <c r="C126" i="4"/>
  <c r="D126" i="4" s="1"/>
  <c r="C112" i="4"/>
  <c r="D112" i="4" s="1"/>
  <c r="C142" i="4"/>
  <c r="D142" i="4" s="1"/>
  <c r="C189" i="4"/>
  <c r="D189" i="4" s="1"/>
  <c r="C22" i="4"/>
  <c r="D22" i="4" s="1"/>
  <c r="C43" i="4"/>
  <c r="D43" i="4" s="1"/>
  <c r="C92" i="4"/>
  <c r="D92" i="4" s="1"/>
  <c r="C138" i="4"/>
  <c r="D138" i="4" s="1"/>
  <c r="C44" i="4"/>
  <c r="D44" i="4" s="1"/>
  <c r="C13" i="4"/>
  <c r="D13" i="4" s="1"/>
  <c r="C145" i="4"/>
  <c r="D145" i="4" s="1"/>
  <c r="C84" i="4"/>
  <c r="D84" i="4" s="1"/>
  <c r="C109" i="4"/>
  <c r="D109" i="4" s="1"/>
  <c r="C111" i="4"/>
  <c r="D111" i="4" s="1"/>
  <c r="C149" i="4"/>
  <c r="D149" i="4" s="1"/>
  <c r="C79" i="4"/>
  <c r="D79" i="4" s="1"/>
  <c r="C102" i="4"/>
  <c r="D102" i="4" s="1"/>
  <c r="C33" i="4"/>
  <c r="D33" i="4" s="1"/>
  <c r="C151" i="4"/>
  <c r="D151" i="4" s="1"/>
  <c r="C143" i="4"/>
  <c r="D143" i="4" s="1"/>
  <c r="C196" i="4"/>
  <c r="D196" i="4" s="1"/>
  <c r="C23" i="4"/>
  <c r="D23" i="4" s="1"/>
  <c r="C167" i="4"/>
  <c r="D167" i="4" s="1"/>
  <c r="C97" i="4"/>
  <c r="D97" i="4" s="1"/>
  <c r="C180" i="4"/>
  <c r="D180" i="4" s="1"/>
  <c r="C174" i="4"/>
  <c r="D174" i="4" s="1"/>
  <c r="C40" i="4"/>
  <c r="D40" i="4" s="1"/>
  <c r="C106" i="4"/>
  <c r="D106" i="4" s="1"/>
  <c r="C164" i="4"/>
  <c r="D164" i="4" s="1"/>
  <c r="C29" i="4"/>
  <c r="D29" i="4" s="1"/>
  <c r="C6" i="4"/>
  <c r="D6" i="4" s="1"/>
  <c r="C55" i="4"/>
  <c r="D55" i="4" s="1"/>
  <c r="C161" i="4"/>
  <c r="D161" i="4" s="1"/>
  <c r="C121" i="4"/>
  <c r="D121" i="4" s="1"/>
  <c r="C200" i="4"/>
  <c r="D200" i="4" s="1"/>
  <c r="C17" i="4"/>
  <c r="D17" i="4" s="1"/>
  <c r="C35" i="4"/>
  <c r="D35" i="4" s="1"/>
  <c r="D4" i="4"/>
  <c r="C9" i="4"/>
  <c r="D9" i="4" s="1"/>
  <c r="C184" i="4"/>
  <c r="D184" i="4" s="1"/>
  <c r="C101" i="4"/>
  <c r="D101" i="4" s="1"/>
  <c r="C163" i="4"/>
  <c r="D163" i="4" s="1"/>
  <c r="C144" i="4"/>
  <c r="D144" i="4" s="1"/>
  <c r="C5" i="4"/>
  <c r="D5" i="4" s="1"/>
  <c r="C140" i="4"/>
  <c r="D140" i="4" s="1"/>
  <c r="C14" i="4"/>
  <c r="D14" i="4" s="1"/>
  <c r="C74" i="4"/>
  <c r="D74" i="4" s="1"/>
  <c r="C21" i="4"/>
  <c r="D21" i="4" s="1"/>
  <c r="C160" i="4"/>
  <c r="D160" i="4" s="1"/>
  <c r="C51" i="4"/>
  <c r="D51" i="4" s="1"/>
  <c r="C38" i="4"/>
  <c r="D38" i="4" s="1"/>
  <c r="C198" i="4"/>
  <c r="D198" i="4" s="1"/>
  <c r="C170" i="4"/>
  <c r="D170" i="4" s="1"/>
  <c r="C157" i="4"/>
  <c r="D157" i="4" s="1"/>
  <c r="C82" i="4"/>
  <c r="D82" i="4" s="1"/>
  <c r="C31" i="4"/>
  <c r="D31" i="4" s="1"/>
  <c r="C53" i="4"/>
  <c r="D53" i="4" s="1"/>
  <c r="C72" i="4"/>
  <c r="D72" i="4" s="1"/>
  <c r="C12" i="4"/>
  <c r="D12" i="4" s="1"/>
  <c r="C178" i="4"/>
  <c r="D178" i="4" s="1"/>
  <c r="C146" i="4"/>
  <c r="D146" i="4" s="1"/>
  <c r="C192" i="4"/>
  <c r="D192" i="4" s="1"/>
  <c r="C58" i="4"/>
  <c r="D58" i="4" s="1"/>
  <c r="C45" i="4"/>
  <c r="D45" i="4" s="1"/>
  <c r="C39" i="4"/>
  <c r="D39" i="4" s="1"/>
  <c r="C107" i="4"/>
  <c r="D107" i="4" s="1"/>
  <c r="C203" i="4"/>
  <c r="D203" i="4" s="1"/>
  <c r="C202" i="4"/>
  <c r="D202" i="4" s="1"/>
  <c r="C110" i="4"/>
  <c r="D110" i="4" s="1"/>
  <c r="C113" i="4"/>
  <c r="D113" i="4" s="1"/>
  <c r="C81" i="4"/>
  <c r="D81" i="4" s="1"/>
  <c r="C128" i="4"/>
  <c r="D128" i="4" s="1"/>
  <c r="C93" i="4"/>
  <c r="D93" i="4" s="1"/>
  <c r="C90" i="4"/>
  <c r="D90" i="4" s="1"/>
  <c r="C95" i="4"/>
  <c r="D95" i="4" s="1"/>
  <c r="C168" i="4"/>
  <c r="D168" i="4" s="1"/>
  <c r="C47" i="4"/>
  <c r="D47" i="4" s="1"/>
  <c r="C120" i="4"/>
  <c r="D120" i="4" s="1"/>
  <c r="L108" i="4"/>
  <c r="L42" i="4"/>
  <c r="E87" i="4"/>
  <c r="H87" i="4" s="1"/>
  <c r="L87" i="4" s="1"/>
  <c r="M87" i="4" a="1"/>
  <c r="M87" i="4" s="1"/>
  <c r="E28" i="4"/>
  <c r="H28" i="4" s="1"/>
  <c r="L28" i="4" s="1"/>
  <c r="M28" i="4" a="1"/>
  <c r="M28" i="4" s="1"/>
  <c r="E92" i="4"/>
  <c r="H92" i="4" s="1"/>
  <c r="L92" i="4" s="1"/>
  <c r="E173" i="4"/>
  <c r="H173" i="4" s="1"/>
  <c r="E80" i="4"/>
  <c r="H80" i="4" s="1"/>
  <c r="L80" i="4" s="1"/>
  <c r="E166" i="4"/>
  <c r="H166" i="4" s="1"/>
  <c r="L166" i="4" s="1"/>
  <c r="E185" i="4"/>
  <c r="H185" i="4" s="1"/>
  <c r="K108" i="4"/>
  <c r="K42" i="4"/>
  <c r="E155" i="4"/>
  <c r="H155" i="4" s="1"/>
  <c r="L155" i="4" s="1"/>
  <c r="E129" i="4"/>
  <c r="H129" i="4" s="1"/>
  <c r="L129" i="4" s="1"/>
  <c r="E114" i="4"/>
  <c r="H114" i="4" s="1"/>
  <c r="L114" i="4" s="1"/>
  <c r="E186" i="4"/>
  <c r="H186" i="4" s="1"/>
  <c r="L186" i="4" s="1"/>
  <c r="E48" i="4"/>
  <c r="H48" i="4" s="1"/>
  <c r="L48" i="4" s="1"/>
  <c r="E89" i="4"/>
  <c r="H89" i="4" s="1"/>
  <c r="L89" i="4" s="1"/>
  <c r="E100" i="4"/>
  <c r="H100" i="4" s="1"/>
  <c r="L100" i="4" s="1"/>
  <c r="E128" i="4"/>
  <c r="H128" i="4" s="1"/>
  <c r="L128" i="4" s="1"/>
  <c r="E53" i="4"/>
  <c r="H53" i="4" s="1"/>
  <c r="L53" i="4" s="1"/>
  <c r="E117" i="4"/>
  <c r="H117" i="4" s="1"/>
  <c r="L117" i="4" s="1"/>
  <c r="E69" i="4"/>
  <c r="H69" i="4" s="1"/>
  <c r="L69" i="4" s="1"/>
  <c r="E116" i="4"/>
  <c r="H116" i="4" s="1"/>
  <c r="L116" i="4" s="1"/>
  <c r="E32" i="4"/>
  <c r="H32" i="4" s="1"/>
  <c r="L32" i="4" s="1"/>
  <c r="E112" i="4"/>
  <c r="H112" i="4" s="1"/>
  <c r="L112" i="4" s="1"/>
  <c r="E142" i="4"/>
  <c r="H142" i="4" s="1"/>
  <c r="L142" i="4" s="1"/>
  <c r="E24" i="4"/>
  <c r="H24" i="4" s="1"/>
  <c r="L24" i="4" s="1"/>
  <c r="E95" i="4"/>
  <c r="H95" i="4" s="1"/>
  <c r="L95" i="4" s="1"/>
  <c r="E201" i="4"/>
  <c r="H201" i="4" s="1"/>
  <c r="L201" i="4" s="1"/>
  <c r="E27" i="4"/>
  <c r="H27" i="4" s="1"/>
  <c r="L27" i="4" s="1"/>
  <c r="E162" i="4"/>
  <c r="H162" i="4" s="1"/>
  <c r="L162" i="4" s="1"/>
  <c r="E119" i="4"/>
  <c r="H119" i="4" s="1"/>
  <c r="L119" i="4" s="1"/>
  <c r="E35" i="4"/>
  <c r="H35" i="4" s="1"/>
  <c r="L35" i="4" s="1"/>
  <c r="E127" i="4"/>
  <c r="H127" i="4" s="1"/>
  <c r="L127" i="4" s="1"/>
  <c r="E157" i="4"/>
  <c r="H157" i="4" s="1"/>
  <c r="L157" i="4" s="1"/>
  <c r="E13" i="4"/>
  <c r="H13" i="4" s="1"/>
  <c r="L13" i="4" s="1"/>
  <c r="E91" i="4"/>
  <c r="H91" i="4" s="1"/>
  <c r="L91" i="4" s="1"/>
  <c r="E182" i="4"/>
  <c r="H182" i="4" s="1"/>
  <c r="L182" i="4" s="1"/>
  <c r="E169" i="4"/>
  <c r="H169" i="4" s="1"/>
  <c r="L169" i="4" s="1"/>
  <c r="E97" i="4"/>
  <c r="H97" i="4" s="1"/>
  <c r="L97" i="4" s="1"/>
  <c r="E94" i="4"/>
  <c r="H94" i="4" s="1"/>
  <c r="L94" i="4" s="1"/>
  <c r="E23" i="4"/>
  <c r="H23" i="4" s="1"/>
  <c r="L23" i="4" s="1"/>
  <c r="E102" i="4"/>
  <c r="H102" i="4" s="1"/>
  <c r="L102" i="4" s="1"/>
  <c r="E101" i="4"/>
  <c r="H101" i="4" s="1"/>
  <c r="L101" i="4" s="1"/>
  <c r="E199" i="4"/>
  <c r="H199" i="4" s="1"/>
  <c r="L199" i="4" s="1"/>
  <c r="E76" i="4"/>
  <c r="H76" i="4" s="1"/>
  <c r="L76" i="4" s="1"/>
  <c r="E187" i="4"/>
  <c r="H187" i="4" s="1"/>
  <c r="L187" i="4" s="1"/>
  <c r="E145" i="4"/>
  <c r="H145" i="4" s="1"/>
  <c r="L145" i="4" s="1"/>
  <c r="E56" i="4"/>
  <c r="H56" i="4" s="1"/>
  <c r="L56" i="4" s="1"/>
  <c r="E21" i="4"/>
  <c r="H21" i="4" s="1"/>
  <c r="L21" i="4" s="1"/>
  <c r="E175" i="4"/>
  <c r="H175" i="4" s="1"/>
  <c r="L175" i="4" s="1"/>
  <c r="E37" i="4"/>
  <c r="H37" i="4" s="1"/>
  <c r="L37" i="4" s="1"/>
  <c r="E17" i="4"/>
  <c r="H17" i="4" s="1"/>
  <c r="L17" i="4" s="1"/>
  <c r="E107" i="4"/>
  <c r="H107" i="4" s="1"/>
  <c r="L107" i="4" s="1"/>
  <c r="E149" i="4"/>
  <c r="H149" i="4" s="1"/>
  <c r="L149" i="4" s="1"/>
  <c r="E62" i="4"/>
  <c r="H62" i="4" s="1"/>
  <c r="L62" i="4" s="1"/>
  <c r="E174" i="4"/>
  <c r="H174" i="4" s="1"/>
  <c r="L174" i="4" s="1"/>
  <c r="E75" i="4"/>
  <c r="H75" i="4" s="1"/>
  <c r="L75" i="4" s="1"/>
  <c r="E11" i="4"/>
  <c r="H11" i="4" s="1"/>
  <c r="L11" i="4" s="1"/>
  <c r="E41" i="4"/>
  <c r="H41" i="4" s="1"/>
  <c r="L41" i="4" s="1"/>
  <c r="E52" i="4"/>
  <c r="H52" i="4" s="1"/>
  <c r="L52" i="4" s="1"/>
  <c r="E194" i="4"/>
  <c r="H194" i="4" s="1"/>
  <c r="L194" i="4" s="1"/>
  <c r="E130" i="4"/>
  <c r="H130" i="4" s="1"/>
  <c r="L130" i="4" s="1"/>
  <c r="E29" i="4"/>
  <c r="H29" i="4" s="1"/>
  <c r="L29" i="4" s="1"/>
  <c r="E6" i="4"/>
  <c r="H6" i="4" s="1"/>
  <c r="L6" i="4" s="1"/>
  <c r="E176" i="4"/>
  <c r="H176" i="4" s="1"/>
  <c r="L176" i="4" s="1"/>
  <c r="E12" i="4"/>
  <c r="H12" i="4" s="1"/>
  <c r="L12" i="4" s="1"/>
  <c r="E164" i="4"/>
  <c r="H164" i="4" s="1"/>
  <c r="L164" i="4" s="1"/>
  <c r="E68" i="4"/>
  <c r="H68" i="4" s="1"/>
  <c r="L68" i="4" s="1"/>
  <c r="E77" i="4"/>
  <c r="H77" i="4" s="1"/>
  <c r="L77" i="4" s="1"/>
  <c r="E153" i="4"/>
  <c r="H153" i="4" s="1"/>
  <c r="L153" i="4" s="1"/>
  <c r="E99" i="4"/>
  <c r="H99" i="4" s="1"/>
  <c r="L99" i="4" s="1"/>
  <c r="E82" i="4"/>
  <c r="H82" i="4" s="1"/>
  <c r="L82" i="4" s="1"/>
  <c r="E193" i="4"/>
  <c r="H193" i="4" s="1"/>
  <c r="L193" i="4" s="1"/>
  <c r="E140" i="4"/>
  <c r="H140" i="4" s="1"/>
  <c r="L140" i="4" s="1"/>
  <c r="E111" i="4"/>
  <c r="H111" i="4" s="1"/>
  <c r="L111" i="4" s="1"/>
  <c r="E14" i="4"/>
  <c r="H14" i="4" s="1"/>
  <c r="L14" i="4" s="1"/>
  <c r="E74" i="4"/>
  <c r="H74" i="4" s="1"/>
  <c r="L74" i="4" s="1"/>
  <c r="E20" i="4"/>
  <c r="H20" i="4" s="1"/>
  <c r="L20" i="4" s="1"/>
  <c r="E103" i="4"/>
  <c r="H103" i="4" s="1"/>
  <c r="L103" i="4" s="1"/>
  <c r="E38" i="4"/>
  <c r="H38" i="4" s="1"/>
  <c r="L38" i="4" s="1"/>
  <c r="E54" i="4"/>
  <c r="H54" i="4" s="1"/>
  <c r="L54" i="4" s="1"/>
  <c r="E43" i="4"/>
  <c r="H43" i="4" s="1"/>
  <c r="L43" i="4" s="1"/>
  <c r="E141" i="4"/>
  <c r="H141" i="4" s="1"/>
  <c r="L141" i="4" s="1"/>
  <c r="E158" i="4"/>
  <c r="H158" i="4" s="1"/>
  <c r="L158" i="4" s="1"/>
  <c r="E31" i="4"/>
  <c r="H31" i="4" s="1"/>
  <c r="L31" i="4" s="1"/>
  <c r="E106" i="4"/>
  <c r="H106" i="4" s="1"/>
  <c r="L106" i="4" s="1"/>
  <c r="E51" i="4"/>
  <c r="H51" i="4" s="1"/>
  <c r="L51" i="4" s="1"/>
  <c r="E98" i="4"/>
  <c r="H98" i="4" s="1"/>
  <c r="L98" i="4" s="1"/>
  <c r="E168" i="4"/>
  <c r="H168" i="4" s="1"/>
  <c r="L168" i="4" s="1"/>
  <c r="E120" i="4"/>
  <c r="H120" i="4" s="1"/>
  <c r="L120" i="4" s="1"/>
  <c r="E152" i="4"/>
  <c r="H152" i="4" s="1"/>
  <c r="L152" i="4" s="1"/>
  <c r="E73" i="4"/>
  <c r="H73" i="4" s="1"/>
  <c r="L73" i="4" s="1"/>
  <c r="E204" i="4"/>
  <c r="H204" i="4" s="1"/>
  <c r="L204" i="4" s="1"/>
  <c r="E44" i="4"/>
  <c r="H44" i="4" s="1"/>
  <c r="L44" i="4" s="1"/>
  <c r="E66" i="4"/>
  <c r="H66" i="4" s="1"/>
  <c r="L66" i="4" s="1"/>
  <c r="E93" i="4"/>
  <c r="H93" i="4" s="1"/>
  <c r="L93" i="4" s="1"/>
  <c r="E203" i="4"/>
  <c r="H203" i="4" s="1"/>
  <c r="L203" i="4" s="1"/>
  <c r="E110" i="4"/>
  <c r="H110" i="4" s="1"/>
  <c r="L110" i="4" s="1"/>
  <c r="E22" i="4"/>
  <c r="H22" i="4" s="1"/>
  <c r="L22" i="4" s="1"/>
  <c r="E136" i="4"/>
  <c r="H136" i="4" s="1"/>
  <c r="L136" i="4" s="1"/>
  <c r="E138" i="4"/>
  <c r="H138" i="4" s="1"/>
  <c r="L138" i="4" s="1"/>
  <c r="E55" i="4"/>
  <c r="H55" i="4" s="1"/>
  <c r="L55" i="4" s="1"/>
  <c r="E30" i="4"/>
  <c r="H30" i="4" s="1"/>
  <c r="L30" i="4" s="1"/>
  <c r="E60" i="4"/>
  <c r="H60" i="4" s="1"/>
  <c r="L60" i="4" s="1"/>
  <c r="E18" i="4"/>
  <c r="H18" i="4" s="1"/>
  <c r="L18" i="4" s="1"/>
  <c r="E4" i="4"/>
  <c r="H4" i="4" s="1"/>
  <c r="L4" i="4" s="1"/>
  <c r="E86" i="4"/>
  <c r="H86" i="4" s="1"/>
  <c r="L86" i="4" s="1"/>
  <c r="E59" i="4"/>
  <c r="H59" i="4" s="1"/>
  <c r="L59" i="4" s="1"/>
  <c r="E46" i="4"/>
  <c r="H46" i="4" s="1"/>
  <c r="L46" i="4" s="1"/>
  <c r="E118" i="4"/>
  <c r="H118" i="4" s="1"/>
  <c r="L118" i="4" s="1"/>
  <c r="E165" i="4"/>
  <c r="H165" i="4" s="1"/>
  <c r="L165" i="4" s="1"/>
  <c r="E36" i="4"/>
  <c r="H36" i="4" s="1"/>
  <c r="L36" i="4" s="1"/>
  <c r="E39" i="4"/>
  <c r="H39" i="4" s="1"/>
  <c r="L39" i="4" s="1"/>
  <c r="E132" i="4"/>
  <c r="H132" i="4" s="1"/>
  <c r="L132" i="4" s="1"/>
  <c r="E88" i="4"/>
  <c r="H88" i="4" s="1"/>
  <c r="L88" i="4" s="1"/>
  <c r="E16" i="4"/>
  <c r="H16" i="4" s="1"/>
  <c r="L16" i="4" s="1"/>
  <c r="E71" i="4"/>
  <c r="H71" i="4" s="1"/>
  <c r="L71" i="4" s="1"/>
  <c r="E200" i="4"/>
  <c r="H200" i="4" s="1"/>
  <c r="L200" i="4" s="1"/>
  <c r="E26" i="4"/>
  <c r="H26" i="4" s="1"/>
  <c r="L26" i="4" s="1"/>
  <c r="E191" i="4"/>
  <c r="H191" i="4" s="1"/>
  <c r="L191" i="4" s="1"/>
  <c r="E67" i="4"/>
  <c r="H67" i="4" s="1"/>
  <c r="L67" i="4" s="1"/>
  <c r="E58" i="4"/>
  <c r="H58" i="4" s="1"/>
  <c r="L58" i="4" s="1"/>
  <c r="E45" i="4"/>
  <c r="H45" i="4" s="1"/>
  <c r="L45" i="4" s="1"/>
  <c r="E104" i="4"/>
  <c r="H104" i="4" s="1"/>
  <c r="L104" i="4" s="1"/>
  <c r="E15" i="4"/>
  <c r="H15" i="4" s="1"/>
  <c r="L15" i="4" s="1"/>
  <c r="E133" i="4"/>
  <c r="H133" i="4" s="1"/>
  <c r="L133" i="4" s="1"/>
  <c r="E159" i="4"/>
  <c r="H159" i="4" s="1"/>
  <c r="L159" i="4" s="1"/>
  <c r="E61" i="4"/>
  <c r="H61" i="4" s="1"/>
  <c r="L61" i="4" s="1"/>
  <c r="E121" i="4"/>
  <c r="H121" i="4" s="1"/>
  <c r="L121" i="4" s="1"/>
  <c r="E184" i="4"/>
  <c r="H184" i="4" s="1"/>
  <c r="L184" i="4" s="1"/>
  <c r="E177" i="4"/>
  <c r="H177" i="4" s="1"/>
  <c r="L177" i="4" s="1"/>
  <c r="E181" i="4"/>
  <c r="H181" i="4" s="1"/>
  <c r="L181" i="4" s="1"/>
  <c r="E179" i="4"/>
  <c r="H179" i="4" s="1"/>
  <c r="L179" i="4" s="1"/>
  <c r="E172" i="4"/>
  <c r="H172" i="4" s="1"/>
  <c r="L172" i="4" s="1"/>
  <c r="E195" i="4"/>
  <c r="H195" i="4" s="1"/>
  <c r="L195" i="4" s="1"/>
  <c r="E143" i="4"/>
  <c r="H143" i="4" s="1"/>
  <c r="L143" i="4" s="1"/>
  <c r="E190" i="4"/>
  <c r="H190" i="4" s="1"/>
  <c r="L190" i="4" s="1"/>
  <c r="E57" i="4"/>
  <c r="H57" i="4" s="1"/>
  <c r="L57" i="4" s="1"/>
  <c r="E188" i="4"/>
  <c r="H188" i="4" s="1"/>
  <c r="L188" i="4" s="1"/>
  <c r="E148" i="4"/>
  <c r="H148" i="4" s="1"/>
  <c r="L148" i="4" s="1"/>
  <c r="E198" i="4"/>
  <c r="H198" i="4" s="1"/>
  <c r="L198" i="4" s="1"/>
  <c r="E146" i="4"/>
  <c r="H146" i="4" s="1"/>
  <c r="L146" i="4" s="1"/>
  <c r="E197" i="4"/>
  <c r="H197" i="4" s="1"/>
  <c r="L197" i="4" s="1"/>
  <c r="E151" i="4"/>
  <c r="H151" i="4" s="1"/>
  <c r="L151" i="4" s="1"/>
  <c r="E79" i="4"/>
  <c r="H79" i="4" s="1"/>
  <c r="L79" i="4" s="1"/>
  <c r="E192" i="4"/>
  <c r="H192" i="4" s="1"/>
  <c r="L192" i="4" s="1"/>
  <c r="E202" i="4"/>
  <c r="H202" i="4" s="1"/>
  <c r="L202" i="4" s="1"/>
  <c r="E161" i="4"/>
  <c r="H161" i="4" s="1"/>
  <c r="L161" i="4" s="1"/>
  <c r="E5" i="4"/>
  <c r="H5" i="4" s="1"/>
  <c r="L5" i="4" s="1"/>
  <c r="E8" i="4"/>
  <c r="H8" i="4" s="1"/>
  <c r="L8" i="4" s="1"/>
  <c r="E34" i="4"/>
  <c r="H34" i="4" s="1"/>
  <c r="L34" i="4" s="1"/>
  <c r="E160" i="4"/>
  <c r="H160" i="4" s="1"/>
  <c r="L160" i="4" s="1"/>
  <c r="E115" i="4"/>
  <c r="H115" i="4" s="1"/>
  <c r="L115" i="4" s="1"/>
  <c r="E147" i="4"/>
  <c r="H147" i="4" s="1"/>
  <c r="L147" i="4" s="1"/>
  <c r="E135" i="4"/>
  <c r="H135" i="4" s="1"/>
  <c r="L135" i="4" s="1"/>
  <c r="E109" i="4"/>
  <c r="H109" i="4" s="1"/>
  <c r="L109" i="4" s="1"/>
  <c r="E123" i="4"/>
  <c r="H123" i="4" s="1"/>
  <c r="L123" i="4" s="1"/>
  <c r="E154" i="4"/>
  <c r="H154" i="4" s="1"/>
  <c r="L154" i="4" s="1"/>
  <c r="E78" i="4"/>
  <c r="H78" i="4" s="1"/>
  <c r="L78" i="4" s="1"/>
  <c r="E131" i="4"/>
  <c r="H131" i="4" s="1"/>
  <c r="L131" i="4" s="1"/>
  <c r="E167" i="4"/>
  <c r="H167" i="4" s="1"/>
  <c r="L167" i="4" s="1"/>
  <c r="E124" i="4"/>
  <c r="H124" i="4" s="1"/>
  <c r="L124" i="4" s="1"/>
  <c r="E183" i="4"/>
  <c r="H183" i="4" s="1"/>
  <c r="L183" i="4" s="1"/>
  <c r="E137" i="4"/>
  <c r="H137" i="4" s="1"/>
  <c r="L137" i="4" s="1"/>
  <c r="E171" i="4"/>
  <c r="H171" i="4" s="1"/>
  <c r="L171" i="4" s="1"/>
  <c r="E125" i="4"/>
  <c r="H125" i="4" s="1"/>
  <c r="L125" i="4" s="1"/>
  <c r="E139" i="4"/>
  <c r="H139" i="4" s="1"/>
  <c r="L139" i="4" s="1"/>
  <c r="E105" i="4"/>
  <c r="H105" i="4" s="1"/>
  <c r="L105" i="4" s="1"/>
  <c r="E65" i="4"/>
  <c r="H65" i="4" s="1"/>
  <c r="L65" i="4" s="1"/>
  <c r="E144" i="4"/>
  <c r="H144" i="4" s="1"/>
  <c r="L144" i="4" s="1"/>
  <c r="E81" i="4"/>
  <c r="H81" i="4" s="1"/>
  <c r="L81" i="4" s="1"/>
  <c r="E196" i="4"/>
  <c r="H196" i="4" s="1"/>
  <c r="L196" i="4" s="1"/>
  <c r="E156" i="4"/>
  <c r="H156" i="4" s="1"/>
  <c r="L156" i="4" s="1"/>
  <c r="E9" i="4"/>
  <c r="H9" i="4" s="1"/>
  <c r="L9" i="4" s="1"/>
  <c r="E189" i="4"/>
  <c r="H189" i="4" s="1"/>
  <c r="L189" i="4" s="1"/>
  <c r="E50" i="4"/>
  <c r="H50" i="4" s="1"/>
  <c r="L50" i="4" s="1"/>
  <c r="E180" i="4"/>
  <c r="H180" i="4" s="1"/>
  <c r="L180" i="4" s="1"/>
  <c r="E19" i="4"/>
  <c r="H19" i="4" s="1"/>
  <c r="L19" i="4" s="1"/>
  <c r="E49" i="4"/>
  <c r="H49" i="4" s="1"/>
  <c r="L49" i="4" s="1"/>
  <c r="E63" i="4"/>
  <c r="H63" i="4" s="1"/>
  <c r="L63" i="4" s="1"/>
  <c r="E7" i="4"/>
  <c r="H7" i="4" s="1"/>
  <c r="L7" i="4" s="1"/>
  <c r="E90" i="4"/>
  <c r="H90" i="4" s="1"/>
  <c r="L90" i="4" s="1"/>
  <c r="E47" i="4"/>
  <c r="H47" i="4" s="1"/>
  <c r="L47" i="4" s="1"/>
  <c r="E170" i="4"/>
  <c r="H170" i="4" s="1"/>
  <c r="L170" i="4" s="1"/>
  <c r="E178" i="4"/>
  <c r="H178" i="4" s="1"/>
  <c r="L178" i="4" s="1"/>
  <c r="E126" i="4"/>
  <c r="H126" i="4" s="1"/>
  <c r="L126" i="4" s="1"/>
  <c r="E25" i="4"/>
  <c r="H25" i="4" s="1"/>
  <c r="L25" i="4" s="1"/>
  <c r="E113" i="4"/>
  <c r="H113" i="4" s="1"/>
  <c r="L113" i="4" s="1"/>
  <c r="E84" i="4"/>
  <c r="H84" i="4" s="1"/>
  <c r="L84" i="4" s="1"/>
  <c r="E83" i="4"/>
  <c r="H83" i="4" s="1"/>
  <c r="L83" i="4" s="1"/>
  <c r="E85" i="4"/>
  <c r="H85" i="4" s="1"/>
  <c r="L85" i="4" s="1"/>
  <c r="E122" i="4"/>
  <c r="H122" i="4" s="1"/>
  <c r="L122" i="4" s="1"/>
  <c r="E64" i="4"/>
  <c r="H64" i="4" s="1"/>
  <c r="L64" i="4" s="1"/>
  <c r="E72" i="4"/>
  <c r="H72" i="4" s="1"/>
  <c r="L72" i="4" s="1"/>
  <c r="E134" i="4"/>
  <c r="H134" i="4" s="1"/>
  <c r="L134" i="4" s="1"/>
  <c r="E150" i="4"/>
  <c r="H150" i="4" s="1"/>
  <c r="L150" i="4" s="1"/>
  <c r="E10" i="4"/>
  <c r="H10" i="4" s="1"/>
  <c r="L10" i="4" s="1"/>
  <c r="E40" i="4"/>
  <c r="H40" i="4" s="1"/>
  <c r="L40" i="4" s="1"/>
  <c r="E96" i="4"/>
  <c r="H96" i="4" s="1"/>
  <c r="L96" i="4" s="1"/>
  <c r="E33" i="4"/>
  <c r="H33" i="4" s="1"/>
  <c r="L33" i="4" s="1"/>
  <c r="E70" i="4"/>
  <c r="H70" i="4" s="1"/>
  <c r="L70" i="4" s="1"/>
  <c r="E163" i="4"/>
  <c r="H163" i="4" s="1"/>
  <c r="L163" i="4" s="1"/>
  <c r="C28" i="4" l="1"/>
  <c r="D28" i="4" s="1"/>
  <c r="C87" i="4"/>
  <c r="D87" i="4" s="1"/>
  <c r="K92" i="4"/>
  <c r="K166" i="4"/>
  <c r="K185" i="4"/>
  <c r="L185" i="4"/>
  <c r="K173" i="4"/>
  <c r="L173" i="4"/>
  <c r="K80" i="4"/>
  <c r="K28" i="4"/>
  <c r="K72" i="4"/>
  <c r="K90" i="4"/>
  <c r="K144" i="4"/>
  <c r="K154" i="4"/>
  <c r="K192" i="4"/>
  <c r="K172" i="4"/>
  <c r="K58" i="4"/>
  <c r="K118" i="4"/>
  <c r="K60" i="4"/>
  <c r="K106" i="4"/>
  <c r="K140" i="4"/>
  <c r="K29" i="4"/>
  <c r="K37" i="4"/>
  <c r="K48" i="4"/>
  <c r="K122" i="4"/>
  <c r="K63" i="4"/>
  <c r="K9" i="4"/>
  <c r="K124" i="4"/>
  <c r="K151" i="4"/>
  <c r="K57" i="4"/>
  <c r="K191" i="4"/>
  <c r="K59" i="4"/>
  <c r="K93" i="4"/>
  <c r="K120" i="4"/>
  <c r="K20" i="4"/>
  <c r="K82" i="4"/>
  <c r="K164" i="4"/>
  <c r="K62" i="4"/>
  <c r="K21" i="4"/>
  <c r="K101" i="4"/>
  <c r="K182" i="4"/>
  <c r="K119" i="4"/>
  <c r="K142" i="4"/>
  <c r="K53" i="4"/>
  <c r="K114" i="4"/>
  <c r="K10" i="4"/>
  <c r="K178" i="4"/>
  <c r="K156" i="4"/>
  <c r="K167" i="4"/>
  <c r="K5" i="4"/>
  <c r="K190" i="4"/>
  <c r="K15" i="4"/>
  <c r="K39" i="4"/>
  <c r="K138" i="4"/>
  <c r="K168" i="4"/>
  <c r="K74" i="4"/>
  <c r="K12" i="4"/>
  <c r="K149" i="4"/>
  <c r="K56" i="4"/>
  <c r="K91" i="4"/>
  <c r="K112" i="4"/>
  <c r="K128" i="4"/>
  <c r="K70" i="4"/>
  <c r="K83" i="4"/>
  <c r="K19" i="4"/>
  <c r="K125" i="4"/>
  <c r="K147" i="4"/>
  <c r="K146" i="4"/>
  <c r="K184" i="4"/>
  <c r="K200" i="4"/>
  <c r="K4" i="4"/>
  <c r="K44" i="4"/>
  <c r="K43" i="4"/>
  <c r="K153" i="4"/>
  <c r="K41" i="4"/>
  <c r="K145" i="4"/>
  <c r="K13" i="4"/>
  <c r="K27" i="4"/>
  <c r="K32" i="4"/>
  <c r="K100" i="4"/>
  <c r="K33" i="4"/>
  <c r="K134" i="4"/>
  <c r="K84" i="4"/>
  <c r="K47" i="4"/>
  <c r="K180" i="4"/>
  <c r="K81" i="4"/>
  <c r="K171" i="4"/>
  <c r="K78" i="4"/>
  <c r="K115" i="4"/>
  <c r="K202" i="4"/>
  <c r="K198" i="4"/>
  <c r="K195" i="4"/>
  <c r="K121" i="4"/>
  <c r="K45" i="4"/>
  <c r="K71" i="4"/>
  <c r="K165" i="4"/>
  <c r="K18" i="4"/>
  <c r="K22" i="4"/>
  <c r="K204" i="4"/>
  <c r="K51" i="4"/>
  <c r="K54" i="4"/>
  <c r="K111" i="4"/>
  <c r="K77" i="4"/>
  <c r="K6" i="4"/>
  <c r="K11" i="4"/>
  <c r="K17" i="4"/>
  <c r="K187" i="4"/>
  <c r="K94" i="4"/>
  <c r="K157" i="4"/>
  <c r="K201" i="4"/>
  <c r="K116" i="4"/>
  <c r="K89" i="4"/>
  <c r="K113" i="4"/>
  <c r="K50" i="4"/>
  <c r="K137" i="4"/>
  <c r="K160" i="4"/>
  <c r="K148" i="4"/>
  <c r="K61" i="4"/>
  <c r="K16" i="4"/>
  <c r="K110" i="4"/>
  <c r="K73" i="4"/>
  <c r="K38" i="4"/>
  <c r="K68" i="4"/>
  <c r="K75" i="4"/>
  <c r="K76" i="4"/>
  <c r="K97" i="4"/>
  <c r="K127" i="4"/>
  <c r="K95" i="4"/>
  <c r="K69" i="4"/>
  <c r="K96" i="4"/>
  <c r="K64" i="4"/>
  <c r="K25" i="4"/>
  <c r="K7" i="4"/>
  <c r="K189" i="4"/>
  <c r="K65" i="4"/>
  <c r="K183" i="4"/>
  <c r="K123" i="4"/>
  <c r="K34" i="4"/>
  <c r="K79" i="4"/>
  <c r="K188" i="4"/>
  <c r="K179" i="4"/>
  <c r="K159" i="4"/>
  <c r="K67" i="4"/>
  <c r="K88" i="4"/>
  <c r="K46" i="4"/>
  <c r="K30" i="4"/>
  <c r="K203" i="4"/>
  <c r="K152" i="4"/>
  <c r="K31" i="4"/>
  <c r="K103" i="4"/>
  <c r="K193" i="4"/>
  <c r="K87" i="4"/>
  <c r="K130" i="4"/>
  <c r="K174" i="4"/>
  <c r="K175" i="4"/>
  <c r="K199" i="4"/>
  <c r="K169" i="4"/>
  <c r="K35" i="4"/>
  <c r="K24" i="4"/>
  <c r="K117" i="4"/>
  <c r="K186" i="4"/>
  <c r="K40" i="4"/>
  <c r="K126" i="4"/>
  <c r="K105" i="4"/>
  <c r="K109" i="4"/>
  <c r="K8" i="4"/>
  <c r="K181" i="4"/>
  <c r="K133" i="4"/>
  <c r="K132" i="4"/>
  <c r="K55" i="4"/>
  <c r="K158" i="4"/>
  <c r="K194" i="4"/>
  <c r="K163" i="4"/>
  <c r="K85" i="4"/>
  <c r="K49" i="4"/>
  <c r="K139" i="4"/>
  <c r="K135" i="4"/>
  <c r="K197" i="4"/>
  <c r="K177" i="4"/>
  <c r="K26" i="4"/>
  <c r="K86" i="4"/>
  <c r="K66" i="4"/>
  <c r="K141" i="4"/>
  <c r="K99" i="4"/>
  <c r="K52" i="4"/>
  <c r="K102" i="4"/>
  <c r="K162" i="4"/>
  <c r="K129" i="4"/>
  <c r="K150" i="4"/>
  <c r="K170" i="4"/>
  <c r="K196" i="4"/>
  <c r="K131" i="4"/>
  <c r="K161" i="4"/>
  <c r="K143" i="4"/>
  <c r="K104" i="4"/>
  <c r="K36" i="4"/>
  <c r="K136" i="4"/>
  <c r="K98" i="4"/>
  <c r="K14" i="4"/>
  <c r="K176" i="4"/>
  <c r="K107" i="4"/>
  <c r="K23" i="4"/>
  <c r="K1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58873-A93A-470D-82A4-7ACFE51002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44A3FB8-9384-4C3A-98D2-D257DB5D5C4D}" name="WorksheetConnection_Gym_data!$A$1:$K$37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Gym_dataA1K37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<sst xmlns="http://schemas.openxmlformats.org/spreadsheetml/2006/main" count="1840" uniqueCount="475">
  <si>
    <t>Serial Number</t>
  </si>
  <si>
    <t>Payment_Date</t>
  </si>
  <si>
    <t>Member_Name</t>
  </si>
  <si>
    <t>Payment_Method</t>
  </si>
  <si>
    <t>Month_Start_Date</t>
  </si>
  <si>
    <t>Aayush Paul</t>
  </si>
  <si>
    <t>Cash</t>
  </si>
  <si>
    <t>Normal</t>
  </si>
  <si>
    <t>Abdul Azir</t>
  </si>
  <si>
    <t>Google Pay</t>
  </si>
  <si>
    <t>Abhijit Karmakar</t>
  </si>
  <si>
    <t>Abhijit Saha Bhowmik</t>
  </si>
  <si>
    <t>Aditya Kumar Sinha</t>
  </si>
  <si>
    <t>Aishwarika Debnath</t>
  </si>
  <si>
    <t>Akash Nandi</t>
  </si>
  <si>
    <t>Aman Paul</t>
  </si>
  <si>
    <t>Ambarish Mahalambish</t>
  </si>
  <si>
    <t>Anal Sharma</t>
  </si>
  <si>
    <t>Anamika Rupini</t>
  </si>
  <si>
    <t>Anamika Sharma</t>
  </si>
  <si>
    <t>Aniket Lodh</t>
  </si>
  <si>
    <t>Aniket Sinha</t>
  </si>
  <si>
    <t>Aninda Podder</t>
  </si>
  <si>
    <t>Ankit Das</t>
  </si>
  <si>
    <t>Antra Bhattacharjee</t>
  </si>
  <si>
    <t xml:space="preserve">Anukul Das </t>
  </si>
  <si>
    <t>Apurba Ghosh</t>
  </si>
  <si>
    <t>Apurba Sarkar</t>
  </si>
  <si>
    <t>Arghadeep Dhar</t>
  </si>
  <si>
    <t>Arghajeet Das</t>
  </si>
  <si>
    <t>Arindam Ghosh</t>
  </si>
  <si>
    <t>Arkyajit Bhattacharjee</t>
  </si>
  <si>
    <t>Ashish Laskar</t>
  </si>
  <si>
    <t>Ashit Karmakar</t>
  </si>
  <si>
    <t>Ashwarika Debnath</t>
  </si>
  <si>
    <t>Ayushi Acharjee</t>
  </si>
  <si>
    <t>Banti Das</t>
  </si>
  <si>
    <t>Barun Sharma</t>
  </si>
  <si>
    <t>Basuraj Bhattacharjee</t>
  </si>
  <si>
    <t>Bipati Bhusan Roy</t>
  </si>
  <si>
    <t>Bishal Roy</t>
  </si>
  <si>
    <t>Biswajit Das</t>
  </si>
  <si>
    <t>Blered Miya</t>
  </si>
  <si>
    <t>Chandraj Das</t>
  </si>
  <si>
    <t>Daipayan Debnath</t>
  </si>
  <si>
    <t>Daipayan Paul</t>
  </si>
  <si>
    <t>Dayal Debnath</t>
  </si>
  <si>
    <t>Debashish Choudhury</t>
  </si>
  <si>
    <t>Debasish Ghosh</t>
  </si>
  <si>
    <t>Deep Saha</t>
  </si>
  <si>
    <t>Deepjyoti Ghosh</t>
  </si>
  <si>
    <t>Diksha Chaudhury</t>
  </si>
  <si>
    <t>Dipayan Paul</t>
  </si>
  <si>
    <t>Disha Malakar</t>
  </si>
  <si>
    <t>Doyel Banik</t>
  </si>
  <si>
    <t>Dr. Piyali Das</t>
  </si>
  <si>
    <t>Enoush Debbarma</t>
  </si>
  <si>
    <t>G. Ranyea Singha</t>
  </si>
  <si>
    <t>Gourab Ghosh</t>
  </si>
  <si>
    <t>Gourab Majumder</t>
  </si>
  <si>
    <t>Himangshu Basfore</t>
  </si>
  <si>
    <t>Himel Sinha</t>
  </si>
  <si>
    <t>Hriday Debnath</t>
  </si>
  <si>
    <t>Irfan Reheman</t>
  </si>
  <si>
    <t>Jagriti Datta</t>
  </si>
  <si>
    <t>Jayanta Paul</t>
  </si>
  <si>
    <t>Jayasree Debnath</t>
  </si>
  <si>
    <t>Jordan Debbarma</t>
  </si>
  <si>
    <t>Joy Shree Debnath</t>
  </si>
  <si>
    <t>Jyotirmoy Das Choudhury</t>
  </si>
  <si>
    <t>Kallol Roy</t>
  </si>
  <si>
    <t>Karnajit Dey</t>
  </si>
  <si>
    <t>Kishor Das</t>
  </si>
  <si>
    <t>Koushik Das</t>
  </si>
  <si>
    <t>Krishan Bhattacharjee</t>
  </si>
  <si>
    <t>Krishan Bhowmik</t>
  </si>
  <si>
    <t>Kunal Debbarma</t>
  </si>
  <si>
    <t>Kunal Saha</t>
  </si>
  <si>
    <t>Kushal Banik</t>
  </si>
  <si>
    <t>Litan Miah</t>
  </si>
  <si>
    <t>Maitri Singha</t>
  </si>
  <si>
    <t>Manajit Singha</t>
  </si>
  <si>
    <t>Manak Choudhry</t>
  </si>
  <si>
    <t>Mani Roy</t>
  </si>
  <si>
    <t xml:space="preserve">Mani Roy </t>
  </si>
  <si>
    <t>Md. Imran</t>
  </si>
  <si>
    <t>Mina Dhar</t>
  </si>
  <si>
    <t>Minal Debbarma</t>
  </si>
  <si>
    <t>Mithun Saha</t>
  </si>
  <si>
    <t>Mridul Saha</t>
  </si>
  <si>
    <t>Nabajit Roy</t>
  </si>
  <si>
    <t>Nabajit Saha</t>
  </si>
  <si>
    <t>Nabajit Saha Sarkar</t>
  </si>
  <si>
    <t>Nandan Ghosh</t>
  </si>
  <si>
    <t>Nishan Debbarma</t>
  </si>
  <si>
    <t>Panomartha Ghosh</t>
  </si>
  <si>
    <t>Papya Bhowmik</t>
  </si>
  <si>
    <t>Papya Ghosh</t>
  </si>
  <si>
    <t>Paromartha Ghosh</t>
  </si>
  <si>
    <t>Payel Bhowmik</t>
  </si>
  <si>
    <t>Pradip Das</t>
  </si>
  <si>
    <t>Pradip Majumder</t>
  </si>
  <si>
    <t>Prasenjit Roy Chowdhury</t>
  </si>
  <si>
    <t>Prasenjit Sarkar</t>
  </si>
  <si>
    <t>Prayesh Das</t>
  </si>
  <si>
    <t>Prerna Biswas</t>
  </si>
  <si>
    <t>Pritha Saha</t>
  </si>
  <si>
    <t>Prithwi Das</t>
  </si>
  <si>
    <t>Priti Deb</t>
  </si>
  <si>
    <t>Priyam Saha</t>
  </si>
  <si>
    <t>Priyanka Sen</t>
  </si>
  <si>
    <t>Priyanka Sharma</t>
  </si>
  <si>
    <t>Rahul Choudhury</t>
  </si>
  <si>
    <t>Rahul Majumder</t>
  </si>
  <si>
    <t>Rajat Karmakar</t>
  </si>
  <si>
    <t>Rajat Saha</t>
  </si>
  <si>
    <t>Rajdeep Majumder</t>
  </si>
  <si>
    <t>Rajkumar Subhajit Singha</t>
  </si>
  <si>
    <t>Rakhi Dhar</t>
  </si>
  <si>
    <t>Ranik Singha</t>
  </si>
  <si>
    <t>Rashmi Saha</t>
  </si>
  <si>
    <t>Ratnadeep Paul</t>
  </si>
  <si>
    <t>Ratnajit Das</t>
  </si>
  <si>
    <t>Reshmi Debnath</t>
  </si>
  <si>
    <t>Ripan Das</t>
  </si>
  <si>
    <t>Romeo Singha</t>
  </si>
  <si>
    <t>Rose Pinera</t>
  </si>
  <si>
    <t>Rupali Bhattacharjee</t>
  </si>
  <si>
    <t>S.S. Rama</t>
  </si>
  <si>
    <t>Sagar Das</t>
  </si>
  <si>
    <t xml:space="preserve">Sagarika Banik </t>
  </si>
  <si>
    <t>Sagarika Das</t>
  </si>
  <si>
    <t>Sahil Singh</t>
  </si>
  <si>
    <t>Saikat Saha</t>
  </si>
  <si>
    <t>Sampa Majumder</t>
  </si>
  <si>
    <t>Samrat Kumar Sinha</t>
  </si>
  <si>
    <t>Sani Debnath</t>
  </si>
  <si>
    <t>Sani Sutradhar</t>
  </si>
  <si>
    <t>Sanjay Ghosh</t>
  </si>
  <si>
    <t>Sanjay Saha</t>
  </si>
  <si>
    <t>Sanu Das</t>
  </si>
  <si>
    <t>Sapta Debroy</t>
  </si>
  <si>
    <t>Sarat Kar Yadabh</t>
  </si>
  <si>
    <t>Sarita Roy</t>
  </si>
  <si>
    <t>Sarmistha Saha</t>
  </si>
  <si>
    <t>Satrajit Datta</t>
  </si>
  <si>
    <t>Sayan Ghosh</t>
  </si>
  <si>
    <t>Sayan Goswami</t>
  </si>
  <si>
    <t>Sayan Rudra Paul</t>
  </si>
  <si>
    <t>Saykajit Roy</t>
  </si>
  <si>
    <t>Shakti Saha</t>
  </si>
  <si>
    <t>Shakya Barman</t>
  </si>
  <si>
    <t>Shaptadeep Debnath</t>
  </si>
  <si>
    <t>Sharbani Das</t>
  </si>
  <si>
    <t>Shilpar Ghosh</t>
  </si>
  <si>
    <t>Shreyaskar Chakraborty</t>
  </si>
  <si>
    <t>Shristy Das</t>
  </si>
  <si>
    <t>Shubhajyoti Datta</t>
  </si>
  <si>
    <t>Shubhankar Chakraborty</t>
  </si>
  <si>
    <t>Shubhankar Deb</t>
  </si>
  <si>
    <t>Shubhjyoti Datta</t>
  </si>
  <si>
    <t>Shyamal Basfore</t>
  </si>
  <si>
    <t>Shyan Ghosh</t>
  </si>
  <si>
    <t>Soumitra Karmakar</t>
  </si>
  <si>
    <t>Sourab Shil</t>
  </si>
  <si>
    <t>Souradu Bikash Roy</t>
  </si>
  <si>
    <t>Souraj Barua</t>
  </si>
  <si>
    <t>Sourav Ghosh</t>
  </si>
  <si>
    <t>Sourav Shil</t>
  </si>
  <si>
    <t>Sourendra Bikash Roy</t>
  </si>
  <si>
    <t>Souvik Sarkar</t>
  </si>
  <si>
    <t>Stephen Joy</t>
  </si>
  <si>
    <t>Subhadeep Nath</t>
  </si>
  <si>
    <t>Subhajit Paul</t>
  </si>
  <si>
    <t>Subhajit Saha</t>
  </si>
  <si>
    <t>Subhajit Sinha</t>
  </si>
  <si>
    <t>Subham Bhowmik</t>
  </si>
  <si>
    <t>Subham Debnath</t>
  </si>
  <si>
    <t>Subham Paul</t>
  </si>
  <si>
    <t>Subhankar Deb</t>
  </si>
  <si>
    <t>Subhodeep Nath</t>
  </si>
  <si>
    <t>Subhrajit Ghosh</t>
  </si>
  <si>
    <t>Subhrajyoti Roy</t>
  </si>
  <si>
    <t>Subhrojit Ghosh</t>
  </si>
  <si>
    <t>Subir Paul</t>
  </si>
  <si>
    <t>Subratanu Saha</t>
  </si>
  <si>
    <t>Sujit Sarkar</t>
  </si>
  <si>
    <t>Sukanta Das</t>
  </si>
  <si>
    <t>Suman Das</t>
  </si>
  <si>
    <t>Sumitra Das</t>
  </si>
  <si>
    <t>Sunil Singha</t>
  </si>
  <si>
    <t>Sunu Das</t>
  </si>
  <si>
    <t>Supan Debnath</t>
  </si>
  <si>
    <t>Supritam Deb</t>
  </si>
  <si>
    <t>Supriya Banik</t>
  </si>
  <si>
    <t>Supriya Dhar</t>
  </si>
  <si>
    <t>Suraj Barua</t>
  </si>
  <si>
    <t>Surajit Chakraborty</t>
  </si>
  <si>
    <t>Suranda Bikash Roy</t>
  </si>
  <si>
    <t>Suryayan Nath</t>
  </si>
  <si>
    <t>Susanta Sinha</t>
  </si>
  <si>
    <t>Sushanta Chakraborty</t>
  </si>
  <si>
    <t>Sushmita Sinha</t>
  </si>
  <si>
    <t>Swpam Debnath</t>
  </si>
  <si>
    <t>Tampa Majumder</t>
  </si>
  <si>
    <t>Tanmoy Dey</t>
  </si>
  <si>
    <t>Tanusree Debnath</t>
  </si>
  <si>
    <t>Uday Debnath</t>
  </si>
  <si>
    <t>Udaysagar Roy</t>
  </si>
  <si>
    <t>Member_Id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</si>
  <si>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</si>
  <si>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</si>
  <si>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</si>
  <si>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</si>
  <si>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</si>
  <si>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</si>
  <si>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</si>
  <si>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</si>
  <si>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</si>
  <si>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</si>
  <si>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</si>
  <si>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</si>
  <si>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</si>
  <si>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</si>
  <si>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</si>
  <si>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</si>
  <si>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</si>
  <si>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</si>
  <si>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</si>
  <si>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</si>
  <si>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</si>
  <si>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</si>
  <si>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</si>
  <si>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</si>
  <si>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</si>
  <si>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</si>
  <si>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</si>
  <si>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</si>
  <si>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</si>
  <si>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</si>
  <si>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</si>
  <si>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</si>
  <si>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</si>
  <si>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</si>
  <si>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</si>
  <si>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</si>
  <si>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</si>
  <si>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</si>
  <si>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</si>
  <si>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</si>
  <si>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</si>
  <si>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</si>
  <si>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</si>
  <si>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</si>
  <si>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</si>
  <si>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</si>
  <si>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</si>
  <si>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</si>
  <si>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</si>
  <si>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</si>
  <si>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</si>
  <si>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</si>
  <si>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</si>
  <si>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</si>
  <si>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</si>
  <si>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</si>
  <si>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</si>
  <si>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</si>
  <si>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</si>
  <si>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</si>
  <si>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</si>
  <si>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</si>
  <si>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</si>
  <si>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</si>
  <si>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</si>
  <si>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</si>
  <si>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</si>
  <si>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</si>
  <si>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</si>
  <si>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</si>
  <si>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</si>
  <si>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</si>
  <si>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</si>
  <si>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</si>
  <si>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</si>
  <si>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</si>
  <si>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</si>
  <si>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</si>
  <si>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</si>
  <si>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</si>
  <si>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</si>
  <si>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</si>
  <si>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</si>
  <si>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</si>
  <si>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</si>
  <si>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</si>
  <si>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</si>
  <si>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</si>
  <si>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</si>
  <si>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</si>
  <si>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</si>
  <si>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</si>
  <si>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</si>
  <si>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</si>
  <si>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</si>
  <si>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</si>
  <si>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</si>
  <si>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</si>
  <si>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</si>
  <si>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</si>
  <si>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</si>
  <si>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</si>
  <si>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</si>
  <si>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</si>
  <si>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</si>
  <si>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</si>
  <si>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</si>
  <si>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</si>
  <si>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</si>
  <si>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</si>
  <si>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</si>
  <si>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</si>
  <si>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</si>
  <si>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</si>
  <si>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</si>
  <si>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</si>
  <si>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</si>
  <si>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</si>
  <si>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</si>
  <si>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</si>
  <si>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</si>
  <si>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</si>
  <si>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</si>
  <si>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</si>
  <si>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</si>
  <si>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</si>
  <si>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</si>
  <si>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</si>
  <si>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</si>
  <si>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</si>
  <si>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</si>
  <si>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</si>
  <si>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</si>
  <si>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</si>
  <si>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</si>
  <si>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</si>
  <si>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</si>
  <si>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</si>
  <si>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</si>
  <si>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</si>
  <si>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</si>
  <si>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</si>
  <si>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</si>
  <si>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</si>
  <si>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</si>
  <si>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</si>
  <si>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</si>
  <si>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</si>
  <si>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</si>
  <si>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</si>
  <si>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</si>
  <si>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</si>
  <si>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</si>
  <si>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</si>
  <si>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</si>
  <si>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</si>
  <si>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</si>
  <si>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</si>
  <si>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</si>
  <si>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</si>
  <si>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</si>
  <si>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</si>
  <si>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</si>
  <si>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</si>
  <si>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</si>
  <si>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</si>
  <si>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</si>
  <si>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</si>
  <si>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</si>
  <si>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</si>
  <si>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</si>
  <si>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</si>
  <si>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</si>
  <si>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</si>
  <si>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</si>
  <si>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</si>
  <si>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</si>
  <si>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</si>
  <si>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</si>
  <si>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</si>
  <si>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</si>
  <si>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</si>
  <si>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</si>
  <si>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</si>
  <si>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</si>
  <si>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</si>
  <si>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</si>
  <si>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</si>
  <si>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</si>
  <si>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</si>
  <si>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</si>
  <si>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</si>
  <si>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</si>
  <si>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</si>
  <si>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</si>
  <si>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</si>
  <si>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</si>
  <si>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</si>
  <si>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</si>
  <si>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</si>
  <si>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</si>
  <si>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Member_id</t>
  </si>
  <si>
    <t>Expiry_Date</t>
  </si>
  <si>
    <t>ANALYSIS DATE</t>
  </si>
  <si>
    <t>Last Payment Date</t>
  </si>
  <si>
    <t>Expiry Date</t>
  </si>
  <si>
    <t>Membership_Status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</si>
  <si>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</si>
  <si>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</si>
  <si>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</si>
  <si>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</si>
  <si>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</si>
  <si>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</si>
  <si>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</si>
  <si>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</si>
  <si>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Row Labels</t>
  </si>
  <si>
    <t>At Risk</t>
  </si>
  <si>
    <t>Champion</t>
  </si>
  <si>
    <t>Churn Risk</t>
  </si>
  <si>
    <t>Loyal</t>
  </si>
  <si>
    <t>Service_Type</t>
  </si>
  <si>
    <t>Payment_Amount</t>
  </si>
  <si>
    <t>Membership_Duration_Days</t>
  </si>
  <si>
    <t>Plan_type</t>
  </si>
  <si>
    <t>Monthly</t>
  </si>
  <si>
    <t>3 Months</t>
  </si>
  <si>
    <t>4 Months</t>
  </si>
  <si>
    <t>Yearly</t>
  </si>
  <si>
    <t>Grand Total</t>
  </si>
  <si>
    <t>Active</t>
  </si>
  <si>
    <t>Mar</t>
  </si>
  <si>
    <t>Apr</t>
  </si>
  <si>
    <t>May</t>
  </si>
  <si>
    <t>Jun</t>
  </si>
  <si>
    <t>Jul</t>
  </si>
  <si>
    <t>Aug</t>
  </si>
  <si>
    <t>Member Status</t>
  </si>
  <si>
    <t>Months</t>
  </si>
  <si>
    <t>Revenue</t>
  </si>
  <si>
    <t>Month</t>
  </si>
  <si>
    <t>March</t>
  </si>
  <si>
    <t>April</t>
  </si>
  <si>
    <t>June</t>
  </si>
  <si>
    <t>July</t>
  </si>
  <si>
    <t>August</t>
  </si>
  <si>
    <t>Rent</t>
  </si>
  <si>
    <t>Electricity</t>
  </si>
  <si>
    <t>Trainer Salary</t>
  </si>
  <si>
    <t>Total Cost</t>
  </si>
  <si>
    <t>Total Revenue</t>
  </si>
  <si>
    <t>Profit (Net Income)</t>
  </si>
  <si>
    <t>Profit</t>
  </si>
  <si>
    <t>Number of members</t>
  </si>
  <si>
    <t>Number of Active Members</t>
  </si>
  <si>
    <t>Number of Members</t>
  </si>
  <si>
    <t>Service Type</t>
  </si>
  <si>
    <t>Gym Business Performance Dashboard (Mar–Aug 2025)</t>
  </si>
  <si>
    <t>Personal Training</t>
  </si>
  <si>
    <t>Pivot Tables for Analysis (Source for Dashboard Charts)</t>
  </si>
  <si>
    <t>Total</t>
  </si>
  <si>
    <t>Monthly Financial Performance of Gym</t>
  </si>
  <si>
    <t>Profit Margin</t>
  </si>
  <si>
    <t>Gym Membership Payment Dataset (2025)</t>
  </si>
  <si>
    <t>Member Segmentation &amp; RFM Analysis</t>
  </si>
  <si>
    <t>Member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</si>
</sst>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0"/>
      <name val="Aptos Display"/>
      <family val="2"/>
    </font>
    <font>
      <sz val="22"/>
      <color theme="0"/>
      <name val="Aptos Display"/>
      <family val="2"/>
    </font>
    <font>
      <sz val="11"/>
      <color theme="1"/>
      <name val="Aptos Display"/>
      <family val="2"/>
    </font>
    <font>
      <sz val="11"/>
      <color theme="1"/>
      <name val="Calibri"/>
      <family val="2"/>
      <scheme val="minor"/>
    </font>
    <font>
      <b/>
      <sz val="18"/>
      <color theme="1"/>
      <name val="Aptos Display"/>
      <family val="2"/>
    </font>
    <font>
      <b/>
      <sz val="22"/>
      <color theme="0"/>
      <name val="Aptos Display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ptos Display"/>
      <family val="2"/>
    </font>
    <font>
      <b/>
      <sz val="14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164" fontId="0" fillId="0" borderId="7" xfId="0" applyNumberFormat="1" applyBorder="1" applyAlignment="1">
      <alignment wrapText="1"/>
    </xf>
    <xf numFmtId="164" fontId="0" fillId="0" borderId="7" xfId="0" applyNumberFormat="1" applyBorder="1"/>
    <xf numFmtId="164" fontId="0" fillId="0" borderId="2" xfId="0" applyNumberFormat="1" applyBorder="1"/>
    <xf numFmtId="0" fontId="3" fillId="0" borderId="3" xfId="0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164" fontId="0" fillId="0" borderId="9" xfId="0" applyNumberFormat="1" applyBorder="1" applyAlignment="1">
      <alignment wrapText="1"/>
    </xf>
    <xf numFmtId="164" fontId="0" fillId="0" borderId="9" xfId="0" applyNumberFormat="1" applyBorder="1"/>
    <xf numFmtId="164" fontId="0" fillId="0" borderId="6" xfId="0" applyNumberFormat="1" applyBorder="1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4" fillId="4" borderId="0" xfId="0" applyFont="1" applyFill="1"/>
    <xf numFmtId="0" fontId="2" fillId="4" borderId="0" xfId="0" applyFont="1" applyFill="1"/>
    <xf numFmtId="0" fontId="6" fillId="3" borderId="0" xfId="0" applyFont="1" applyFill="1"/>
    <xf numFmtId="164" fontId="0" fillId="0" borderId="5" xfId="0" applyNumberFormat="1" applyFont="1" applyBorder="1" applyAlignment="1">
      <alignment wrapText="1"/>
    </xf>
    <xf numFmtId="164" fontId="0" fillId="0" borderId="9" xfId="0" applyNumberFormat="1" applyFont="1" applyBorder="1" applyAlignment="1">
      <alignment wrapText="1"/>
    </xf>
    <xf numFmtId="164" fontId="0" fillId="0" borderId="9" xfId="0" applyNumberFormat="1" applyFont="1" applyBorder="1"/>
    <xf numFmtId="164" fontId="0" fillId="0" borderId="6" xfId="0" applyNumberFormat="1" applyFont="1" applyBorder="1"/>
    <xf numFmtId="164" fontId="0" fillId="3" borderId="0" xfId="0" applyNumberFormat="1" applyFill="1"/>
    <xf numFmtId="0" fontId="3" fillId="0" borderId="0" xfId="0" applyFont="1" applyBorder="1" applyAlignment="1">
      <alignment vertical="center" wrapText="1"/>
    </xf>
    <xf numFmtId="164" fontId="3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164" fontId="0" fillId="0" borderId="0" xfId="0" applyNumberFormat="1" applyBorder="1" applyAlignment="1">
      <alignment wrapText="1"/>
    </xf>
    <xf numFmtId="164" fontId="0" fillId="0" borderId="0" xfId="0" applyNumberFormat="1" applyBorder="1"/>
    <xf numFmtId="164" fontId="0" fillId="0" borderId="0" xfId="0" applyNumberFormat="1" applyFont="1" applyBorder="1" applyAlignment="1">
      <alignment wrapText="1"/>
    </xf>
    <xf numFmtId="164" fontId="0" fillId="0" borderId="0" xfId="0" applyNumberFormat="1" applyFont="1" applyBorder="1"/>
    <xf numFmtId="9" fontId="0" fillId="0" borderId="8" xfId="1" applyFont="1" applyBorder="1" applyAlignment="1">
      <alignment wrapText="1"/>
    </xf>
    <xf numFmtId="9" fontId="0" fillId="0" borderId="7" xfId="1" applyFont="1" applyBorder="1" applyAlignment="1">
      <alignment wrapText="1"/>
    </xf>
    <xf numFmtId="9" fontId="0" fillId="0" borderId="9" xfId="1" applyFont="1" applyBorder="1" applyAlignment="1">
      <alignment wrapText="1"/>
    </xf>
    <xf numFmtId="0" fontId="8" fillId="3" borderId="0" xfId="0" applyFont="1" applyFill="1"/>
    <xf numFmtId="0" fontId="9" fillId="4" borderId="0" xfId="0" applyFont="1" applyFill="1"/>
    <xf numFmtId="164" fontId="10" fillId="3" borderId="0" xfId="0" applyNumberFormat="1" applyFont="1" applyFill="1"/>
    <xf numFmtId="0" fontId="11" fillId="3" borderId="0" xfId="0" applyFont="1" applyFill="1"/>
    <xf numFmtId="0" fontId="12" fillId="3" borderId="0" xfId="0" applyFont="1" applyFill="1"/>
  </cellXfs>
  <cellStyles count="2">
    <cellStyle name="Normal" xfId="0" builtinId="0"/>
    <cellStyle name="Percent" xfId="1" builtinId="5"/>
  </cellStyles>
  <dxfs count="65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B8B"/>
        </patternFill>
      </fill>
    </dxf>
    <dxf>
      <font>
        <color theme="1"/>
      </font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₹&quot;\ 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797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Monthly Active Members Trend</a:t>
            </a:r>
            <a:endParaRPr lang="en-IN"/>
          </a:p>
        </c:rich>
      </c:tx>
      <c:layout>
        <c:manualLayout>
          <c:xMode val="edge"/>
          <c:yMode val="edge"/>
          <c:x val="0.24218744531933509"/>
          <c:y val="4.6296296296296294E-2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37270341207348"/>
          <c:y val="0.22726851851851851"/>
          <c:w val="0.84396062992125986"/>
          <c:h val="0.6002467920676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Pivot_Data!$T$14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Pivot_Data!$S$15:$S$21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Pivot_Data!$T$15:$T$21</c:f>
              <c:numCache>
                <c:formatCode>General</c:formatCode>
                <c:ptCount val="6"/>
                <c:pt idx="0">
                  <c:v>56</c:v>
                </c:pt>
                <c:pt idx="1">
                  <c:v>73</c:v>
                </c:pt>
                <c:pt idx="2">
                  <c:v>55</c:v>
                </c:pt>
                <c:pt idx="3">
                  <c:v>64</c:v>
                </c:pt>
                <c:pt idx="4">
                  <c:v>74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7-42BC-86E6-C04E38CBBE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81879040"/>
        <c:axId val="681880000"/>
      </c:barChart>
      <c:catAx>
        <c:axId val="68187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80000"/>
        <c:crosses val="autoZero"/>
        <c:auto val="1"/>
        <c:lblAlgn val="ctr"/>
        <c:lblOffset val="100"/>
        <c:noMultiLvlLbl val="0"/>
      </c:catAx>
      <c:valAx>
        <c:axId val="6818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Active Members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Distribution of Members by Membership Status</a:t>
            </a:r>
            <a:endParaRPr lang="en-IN"/>
          </a:p>
        </c:rich>
      </c:tx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978565179352586E-2"/>
              <c:y val="0.13282261592300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95756780402449"/>
              <c:y val="-6.6782589676290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20909886264217"/>
              <c:y val="-4.79607757363662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978565179352586E-2"/>
              <c:y val="0.13282261592300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20909886264217"/>
              <c:y val="-4.79607757363662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95756780402449"/>
              <c:y val="-6.6782589676290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978565179352586E-2"/>
              <c:y val="0.13282261592300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20909886264217"/>
              <c:y val="-4.79607757363662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95756780402449"/>
              <c:y val="-6.6782589676290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Pivot_Data!$W$4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2-4AD1-8B19-DCFC2D936CE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2-4AD1-8B19-DCFC2D936CEB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2-4AD1-8B19-DCFC2D936CEB}"/>
              </c:ext>
            </c:extLst>
          </c:dPt>
          <c:dLbls>
            <c:dLbl>
              <c:idx val="0"/>
              <c:layout>
                <c:manualLayout>
                  <c:x val="-7.5978565179352586E-2"/>
                  <c:y val="0.1328226159230096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22-4AD1-8B19-DCFC2D936CEB}"/>
                </c:ext>
              </c:extLst>
            </c:dLbl>
            <c:dLbl>
              <c:idx val="1"/>
              <c:layout>
                <c:manualLayout>
                  <c:x val="-0.11320909886264217"/>
                  <c:y val="-4.796077573636628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22-4AD1-8B19-DCFC2D936CEB}"/>
                </c:ext>
              </c:extLst>
            </c:dLbl>
            <c:dLbl>
              <c:idx val="2"/>
              <c:layout>
                <c:manualLayout>
                  <c:x val="0.13895756780402449"/>
                  <c:y val="-6.678258967629045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22-4AD1-8B19-DCFC2D936C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Pivot_Data!$V$5:$V$8</c:f>
              <c:strCache>
                <c:ptCount val="3"/>
                <c:pt idx="0">
                  <c:v>Active</c:v>
                </c:pt>
                <c:pt idx="1">
                  <c:v>At Risk</c:v>
                </c:pt>
                <c:pt idx="2">
                  <c:v>Churn Risk</c:v>
                </c:pt>
              </c:strCache>
            </c:strRef>
          </c:cat>
          <c:val>
            <c:numRef>
              <c:f>Pivot_Data!$W$5:$W$8</c:f>
              <c:numCache>
                <c:formatCode>General</c:formatCode>
                <c:ptCount val="3"/>
                <c:pt idx="0">
                  <c:v>81</c:v>
                </c:pt>
                <c:pt idx="1">
                  <c:v>59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22-4AD1-8B19-DCFC2D936C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 Contribution by Customer Segment (in ₹)</a:t>
            </a:r>
            <a:endParaRPr lang="en-US" sz="1200" b="0" i="0" u="none" strike="noStrike" kern="1200" spc="0" baseline="0">
              <a:solidFill>
                <a:sysClr val="window" lastClr="FFFFFF"/>
              </a:solidFill>
            </a:endParaRPr>
          </a:p>
        </c:rich>
      </c:tx>
      <c:layout>
        <c:manualLayout>
          <c:xMode val="edge"/>
          <c:yMode val="edge"/>
          <c:x val="0.15485411198600177"/>
          <c:y val="4.1666666666666664E-2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8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8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8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43111786223572"/>
          <c:y val="0.21733796876818401"/>
          <c:w val="0.80047384186866755"/>
          <c:h val="0.65336478957829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Pivot_Data!$W$10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CB-4563-8098-41B6AC1F15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CB-4563-8098-41B6AC1F15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CB-4563-8098-41B6AC1F159B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8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Pivot_Data!$V$11:$V$15</c:f>
              <c:strCache>
                <c:ptCount val="4"/>
                <c:pt idx="0">
                  <c:v>At Risk</c:v>
                </c:pt>
                <c:pt idx="1">
                  <c:v>Champion</c:v>
                </c:pt>
                <c:pt idx="2">
                  <c:v>Churn Risk</c:v>
                </c:pt>
                <c:pt idx="3">
                  <c:v>Loyal</c:v>
                </c:pt>
              </c:strCache>
            </c:strRef>
          </c:cat>
          <c:val>
            <c:numRef>
              <c:f>Pivot_Data!$W$11:$W$15</c:f>
              <c:numCache>
                <c:formatCode>"₹"\ #,##0</c:formatCode>
                <c:ptCount val="4"/>
                <c:pt idx="0">
                  <c:v>109100</c:v>
                </c:pt>
                <c:pt idx="1">
                  <c:v>146700</c:v>
                </c:pt>
                <c:pt idx="2">
                  <c:v>207000</c:v>
                </c:pt>
                <c:pt idx="3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CB-4563-8098-41B6AC1F15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1813728"/>
        <c:axId val="761804608"/>
      </c:barChart>
      <c:catAx>
        <c:axId val="76181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Member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04608"/>
        <c:crosses val="autoZero"/>
        <c:auto val="1"/>
        <c:lblAlgn val="ctr"/>
        <c:lblOffset val="100"/>
        <c:noMultiLvlLbl val="0"/>
      </c:catAx>
      <c:valAx>
        <c:axId val="761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Customer Segmentation Based on RFM Analysis</a:t>
            </a:r>
            <a:endParaRPr lang="en-IN"/>
          </a:p>
        </c:rich>
      </c:tx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5.8442694663167101E-2"/>
              <c:y val="-0.129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5668635170603724E-2"/>
              <c:y val="0.11315215806357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9.5695209973753276E-2"/>
              <c:y val="4.6458880139982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0421052055993001"/>
              <c:y val="-1.47018081073199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9.5695209973753276E-2"/>
              <c:y val="4.6458880139982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5.8442694663167101E-2"/>
              <c:y val="-0.129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0421052055993001"/>
              <c:y val="-1.47018081073199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5668635170603724E-2"/>
              <c:y val="0.11315215806357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9.5695209973753276E-2"/>
              <c:y val="4.6458880139982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5.8442694663167101E-2"/>
              <c:y val="-0.129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0421052055993001"/>
              <c:y val="-1.47018081073199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5668635170603724E-2"/>
              <c:y val="0.11315215806357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Pivot_Data!$Q$14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98-460D-A64A-FCCC4607F3F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98-460D-A64A-FCCC4607F3F6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98-460D-A64A-FCCC4607F3F6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98-460D-A64A-FCCC4607F3F6}"/>
              </c:ext>
            </c:extLst>
          </c:dPt>
          <c:dLbls>
            <c:dLbl>
              <c:idx val="0"/>
              <c:layout>
                <c:manualLayout>
                  <c:x val="-9.5695209973753276E-2"/>
                  <c:y val="4.645888013998249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98-460D-A64A-FCCC4607F3F6}"/>
                </c:ext>
              </c:extLst>
            </c:dLbl>
            <c:dLbl>
              <c:idx val="1"/>
              <c:layout>
                <c:manualLayout>
                  <c:x val="-5.8442694663167101E-2"/>
                  <c:y val="-0.129495479731700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98-460D-A64A-FCCC4607F3F6}"/>
                </c:ext>
              </c:extLst>
            </c:dLbl>
            <c:dLbl>
              <c:idx val="2"/>
              <c:layout>
                <c:manualLayout>
                  <c:x val="0.10421052055993001"/>
                  <c:y val="-1.470180810731991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98-460D-A64A-FCCC4607F3F6}"/>
                </c:ext>
              </c:extLst>
            </c:dLbl>
            <c:dLbl>
              <c:idx val="3"/>
              <c:layout>
                <c:manualLayout>
                  <c:x val="-2.5668635170603724E-2"/>
                  <c:y val="0.1131521580635753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98-460D-A64A-FCCC4607F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7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Pivot_Data!$P$15:$P$19</c:f>
              <c:strCache>
                <c:ptCount val="4"/>
                <c:pt idx="0">
                  <c:v>At Risk</c:v>
                </c:pt>
                <c:pt idx="1">
                  <c:v>Champion</c:v>
                </c:pt>
                <c:pt idx="2">
                  <c:v>Churn Risk</c:v>
                </c:pt>
                <c:pt idx="3">
                  <c:v>Loyal</c:v>
                </c:pt>
              </c:strCache>
            </c:strRef>
          </c:cat>
          <c:val>
            <c:numRef>
              <c:f>Pivot_Data!$Q$15:$Q$19</c:f>
              <c:numCache>
                <c:formatCode>General</c:formatCode>
                <c:ptCount val="4"/>
                <c:pt idx="0">
                  <c:v>62</c:v>
                </c:pt>
                <c:pt idx="1">
                  <c:v>26</c:v>
                </c:pt>
                <c:pt idx="2">
                  <c:v>100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98-460D-A64A-FCCC4607F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3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9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i="0"/>
              <a:t>Monthly Profit Trend (₹) </a:t>
            </a:r>
          </a:p>
        </c:rich>
      </c:tx>
      <c:layout>
        <c:manualLayout>
          <c:xMode val="edge"/>
          <c:yMode val="edge"/>
          <c:x val="0.34991536384038946"/>
          <c:y val="4.1823504809703052E-2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804442922895509E-2"/>
              <c:y val="-8.3312421580928483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804442922895509E-2"/>
              <c:y val="-8.3312421580928483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804442922895509E-2"/>
              <c:y val="-8.3312421580928483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28292066835318"/>
          <c:y val="0.18858202749408798"/>
          <c:w val="0.80991745597017761"/>
          <c:h val="0.66753112887237909"/>
        </c:manualLayout>
      </c:layout>
      <c:lineChart>
        <c:grouping val="standard"/>
        <c:varyColors val="0"/>
        <c:ser>
          <c:idx val="0"/>
          <c:order val="0"/>
          <c:tx>
            <c:strRef>
              <c:f>Pivot_Data!$T$4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E6-48F0-AE39-9E469849D66D}"/>
              </c:ext>
            </c:extLst>
          </c:dPt>
          <c:dLbls>
            <c:dLbl>
              <c:idx val="2"/>
              <c:layout>
                <c:manualLayout>
                  <c:x val="-4.3804442922895509E-2"/>
                  <c:y val="-8.3312421580928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E6-48F0-AE39-9E469849D66D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7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Pivot_Data!$S$5:$S$11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Pivot_Data!$T$5:$T$11</c:f>
              <c:numCache>
                <c:formatCode>"₹"\ #,##0</c:formatCode>
                <c:ptCount val="6"/>
                <c:pt idx="0">
                  <c:v>18300</c:v>
                </c:pt>
                <c:pt idx="1">
                  <c:v>50200</c:v>
                </c:pt>
                <c:pt idx="2">
                  <c:v>4200</c:v>
                </c:pt>
                <c:pt idx="3">
                  <c:v>27300</c:v>
                </c:pt>
                <c:pt idx="4">
                  <c:v>34200</c:v>
                </c:pt>
                <c:pt idx="5">
                  <c:v>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E6-48F0-AE39-9E469849D6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1827488"/>
        <c:axId val="701825568"/>
      </c:lineChart>
      <c:catAx>
        <c:axId val="70182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25568"/>
        <c:crosses val="autoZero"/>
        <c:auto val="1"/>
        <c:lblAlgn val="ctr"/>
        <c:lblOffset val="100"/>
        <c:noMultiLvlLbl val="0"/>
      </c:catAx>
      <c:valAx>
        <c:axId val="70182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(₹)</a:t>
                </a:r>
                <a:endParaRPr lang="en-IN" sz="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(Mar–Aug 2025)</a:t>
            </a:r>
            <a:endParaRPr lang="en-IN"/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597331583552108E-2"/>
              <c:y val="5.2492797374687067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19553805774277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5437882764654523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819553805774383E-2"/>
              <c:y val="-5.332730844541872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19553805774277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597331583552108E-2"/>
              <c:y val="5.2492797374687067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819553805774383E-2"/>
              <c:y val="-5.332730844541872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5437882764654523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19553805774277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597331583552108E-2"/>
              <c:y val="5.2492797374687067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819553805774383E-2"/>
              <c:y val="-5.332730844541872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5437882764654523E-2"/>
              <c:y val="6.4702809584699345E-2"/>
            </c:manualLayout>
          </c:layout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92804024496937"/>
          <c:y val="0.18761657324043349"/>
          <c:w val="0.81330796150481188"/>
          <c:h val="0.59162788258988186"/>
        </c:manualLayout>
      </c:layout>
      <c:lineChart>
        <c:grouping val="standard"/>
        <c:varyColors val="0"/>
        <c:ser>
          <c:idx val="0"/>
          <c:order val="0"/>
          <c:tx>
            <c:strRef>
              <c:f>Pivot_Data!$Q$4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DBEA-4861-923A-A7B9F234BBA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BEA-4861-923A-A7B9F234BBA4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BEA-4861-923A-A7B9F234BBA4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DBEA-4861-923A-A7B9F234BBA4}"/>
              </c:ext>
            </c:extLst>
          </c:dPt>
          <c:dLbls>
            <c:dLbl>
              <c:idx val="0"/>
              <c:layout>
                <c:manualLayout>
                  <c:x val="-5.8819553805774277E-2"/>
                  <c:y val="6.4702809584699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EA-4861-923A-A7B9F234BBA4}"/>
                </c:ext>
              </c:extLst>
            </c:dLbl>
            <c:dLbl>
              <c:idx val="2"/>
              <c:layout>
                <c:manualLayout>
                  <c:x val="-6.1597331583552108E-2"/>
                  <c:y val="5.2492797374687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EA-4861-923A-A7B9F234BBA4}"/>
                </c:ext>
              </c:extLst>
            </c:dLbl>
            <c:dLbl>
              <c:idx val="3"/>
              <c:layout>
                <c:manualLayout>
                  <c:x val="-8.3819553805774383E-2"/>
                  <c:y val="-5.3327308445418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EA-4861-923A-A7B9F234BBA4}"/>
                </c:ext>
              </c:extLst>
            </c:dLbl>
            <c:dLbl>
              <c:idx val="5"/>
              <c:layout>
                <c:manualLayout>
                  <c:x val="-6.5437882764654523E-2"/>
                  <c:y val="6.4702809584699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EA-4861-923A-A7B9F234BBA4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Pivot_Data!$P$5:$P$11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Pivot_Data!$Q$5:$Q$11</c:f>
              <c:numCache>
                <c:formatCode>"₹"\ #,##0</c:formatCode>
                <c:ptCount val="6"/>
                <c:pt idx="0">
                  <c:v>80300</c:v>
                </c:pt>
                <c:pt idx="1">
                  <c:v>112200</c:v>
                </c:pt>
                <c:pt idx="2">
                  <c:v>66200</c:v>
                </c:pt>
                <c:pt idx="3">
                  <c:v>89300</c:v>
                </c:pt>
                <c:pt idx="4">
                  <c:v>96200</c:v>
                </c:pt>
                <c:pt idx="5">
                  <c:v>69600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EA-4861-923A-A7B9F234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02256"/>
        <c:axId val="60603696"/>
      </c:lineChart>
      <c:catAx>
        <c:axId val="6060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3696"/>
        <c:crosses val="autoZero"/>
        <c:auto val="1"/>
        <c:lblAlgn val="ctr"/>
        <c:lblOffset val="100"/>
        <c:noMultiLvlLbl val="0"/>
      </c:catAx>
      <c:valAx>
        <c:axId val="606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Revenue</a:t>
                </a: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[Gym_Primary_Data final (1).xlsx]Pivot_Data!PivotTable1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 Distribution by Service Type (₹)</a:t>
            </a:r>
            <a:endParaRPr lang="en-US" sz="1400" b="0" i="0" u="none" strike="noStrike" kern="1200" spc="0" baseline="0">
              <a:solidFill>
                <a:sysClr val="window" lastClr="FFFFFF"/>
              </a:solidFill>
            </a:endParaRPr>
          </a:p>
        </c:rich>
      </c:tx>
      <c:overlay val="0"/>
      <c:spPr>
        <a:solidFill>
          <a:schemeClr val="accent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736286089238844"/>
          <c:y val="0.18728783902012247"/>
          <c:w val="0.40305205599300081"/>
          <c:h val="0.67175342665500137"/>
        </c:manualLayout>
      </c:layout>
      <c:doughnutChart>
        <c:varyColors val="1"/>
        <c:ser>
          <c:idx val="0"/>
          <c:order val="0"/>
          <c:tx>
            <c:strRef>
              <c:f>Pivot_Data!$W$17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3-4BAA-948C-6C1E835E7D59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F3-4BAA-948C-6C1E835E7D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Pivot_Data!$V$18:$V$20</c:f>
              <c:strCache>
                <c:ptCount val="2"/>
                <c:pt idx="0">
                  <c:v>Normal</c:v>
                </c:pt>
                <c:pt idx="1">
                  <c:v>Personal Training</c:v>
                </c:pt>
              </c:strCache>
            </c:strRef>
          </c:cat>
          <c:val>
            <c:numRef>
              <c:f>Pivot_Data!$W$18:$W$20</c:f>
              <c:numCache>
                <c:formatCode>"₹"\ #,##0</c:formatCode>
                <c:ptCount val="2"/>
                <c:pt idx="0">
                  <c:v>438300</c:v>
                </c:pt>
                <c:pt idx="1">
                  <c:v>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3-4BAA-948C-6C1E835E7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"/>
        <c:holeSize val="5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43543</xdr:colOff>
      <xdr:row>19</xdr:row>
      <xdr:rowOff>182879</xdr:rowOff>
    </xdr:from>
    <xdr:to>
      <xdr:col>7</xdr:col>
      <xdr:colOff>348343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6509C-3954-467A-90EE-AC94CC575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393497</xdr:colOff>
      <xdr:row>19</xdr:row>
      <xdr:rowOff>168174</xdr:rowOff>
    </xdr:from>
    <xdr:to>
      <xdr:col>16</xdr:col>
      <xdr:colOff>81280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96EE07-7FDD-476A-9A86-D6A94D270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35</xdr:row>
      <xdr:rowOff>20320</xdr:rowOff>
    </xdr:from>
    <xdr:to>
      <xdr:col>16</xdr:col>
      <xdr:colOff>0</xdr:colOff>
      <xdr:row>51</xdr:row>
      <xdr:rowOff>144655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2B0AF1-49D7-4F40-97EF-E395DB90D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35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D47937-0D0C-4B2A-8439-A4799AEE6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387100</xdr:colOff>
      <xdr:row>3</xdr:row>
      <xdr:rowOff>0</xdr:rowOff>
    </xdr:from>
    <xdr:to>
      <xdr:col>16</xdr:col>
      <xdr:colOff>142240</xdr:colOff>
      <xdr:row>19</xdr:row>
      <xdr:rowOff>111760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01FDB-E2E7-4C0D-AF21-9EA055700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10160</xdr:colOff>
      <xdr:row>3</xdr:row>
      <xdr:rowOff>30480</xdr:rowOff>
    </xdr:from>
    <xdr:to>
      <xdr:col>7</xdr:col>
      <xdr:colOff>314960</xdr:colOff>
      <xdr:row>19</xdr:row>
      <xdr:rowOff>86967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909922-F5A2-411A-BBEE-281B8B4DF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411480</xdr:colOff>
      <xdr:row>52</xdr:row>
      <xdr:rowOff>45720</xdr:rowOff>
    </xdr:from>
    <xdr:to>
      <xdr:col>11</xdr:col>
      <xdr:colOff>716280</xdr:colOff>
      <xdr:row>67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2F7074-9D62-4203-8E01-ADFB310E7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un Sharma" refreshedDate="46134.534630902781" createdVersion="8" refreshedVersion="8" minRefreshableVersion="3" recordCount="377" xr:uid="{A756EBB3-1E48-4C7B-BDF4-A4AF4397DDE2}">
  <cacheSource type="worksheet">
    <worksheetSource ref="C3:K380" sheet="Gym_data"/>
  </cacheSource>
  <cacheFields count="11">
    <cacheField name="Member_id" numFmtId="0">
      <sharedItems/>
    </cacheField>
    <cacheField name="Member_Name" numFmtId="0">
      <sharedItems/>
    </cacheField>
    <cacheField name="Payment_Amount" numFmtId="0">
      <sharedItems containsSemiMixedTypes="0" containsString="0" containsNumber="1" containsInteger="1" minValue="500" maxValue="7200"/>
    </cacheField>
    <cacheField name="Plan_type" numFmtId="0">
      <sharedItems/>
    </cacheField>
    <cacheField name="Payment_Method" numFmtId="0">
      <sharedItems/>
    </cacheField>
    <cacheField name="Service_Type" numFmtId="0">
      <sharedItems/>
    </cacheField>
    <cacheField name="Month_Start_Date" numFmtId="14">
      <sharedItems containsSemiMixedTypes="0" containsNonDate="0" containsDate="1" containsString="0" minDate="2025-03-01T00:00:00" maxDate="2025-08-02T00:00:00" count="6">
        <d v="2025-07-01T00:00:00"/>
        <d v="2025-08-01T00:00:00"/>
        <d v="2025-03-01T00:00:00"/>
        <d v="2025-04-01T00:00:00"/>
        <d v="2025-05-01T00:00:00"/>
        <d v="2025-06-01T00:00:00"/>
      </sharedItems>
      <fieldGroup par="10"/>
    </cacheField>
    <cacheField name="Expiry_Date" numFmtId="14">
      <sharedItems containsSemiMixedTypes="0" containsNonDate="0" containsDate="1" containsString="0" minDate="2025-03-31T00:00:00" maxDate="2026-04-15T00:00:00"/>
    </cacheField>
    <cacheField name="Membership_Status" numFmtId="0">
      <sharedItems count="3">
        <s v="At Risk"/>
        <s v="Active"/>
        <s v="Churn Risk"/>
      </sharedItems>
    </cacheField>
    <cacheField name="Days (Month_Start_Date)" numFmtId="0" databaseField="0">
      <fieldGroup base="6">
        <rangePr groupBy="days" startDate="2025-03-01T00:00:00" endDate="2025-08-02T00:00:00"/>
        <groupItems count="368">
          <s v="&lt;01-03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8-2025"/>
        </groupItems>
      </fieldGroup>
    </cacheField>
    <cacheField name="Months (Month_Start_Date)" numFmtId="0" databaseField="0">
      <fieldGroup base="6">
        <rangePr groupBy="months" startDate="2025-03-01T00:00:00" endDate="2025-08-02T00:00:00"/>
        <groupItems count="14">
          <s v="&lt;01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8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un Sharma" refreshedDate="46134.56636863426" createdVersion="8" refreshedVersion="8" minRefreshableVersion="3" recordCount="201" xr:uid="{4CF665C5-1E34-4262-A977-4A26B1EAA0C5}">
  <cacheSource type="worksheet">
    <worksheetSource ref="A3:M204" sheet="Member_Summary"/>
  </cacheSource>
  <cacheFields count="13">
    <cacheField name="Member_Id" numFmtId="0">
      <sharedItems/>
    </cacheField>
    <cacheField name="Last Payment Date" numFmtId="14">
      <sharedItems containsSemiMixedTypes="0" containsNonDate="0" containsDate="1" containsString="0" minDate="2025-03-04T00:00:00" maxDate="2025-08-20T00:00:00"/>
    </cacheField>
    <cacheField name="Expiry Date" numFmtId="14">
      <sharedItems containsSemiMixedTypes="0" containsNonDate="0" containsDate="1" containsString="0" minDate="2025-04-16T00:00:00" maxDate="2026-04-15T00:00:00"/>
    </cacheField>
    <cacheField name="Status" numFmtId="0">
      <sharedItems/>
    </cacheField>
    <cacheField name="Recency" numFmtId="0">
      <sharedItems containsSemiMixedTypes="0" containsString="0" containsNumber="1" containsInteger="1" minValue="12" maxValue="180"/>
    </cacheField>
    <cacheField name="Frequency" numFmtId="0">
      <sharedItems containsSemiMixedTypes="0" containsString="0" containsNumber="1" containsInteger="1" minValue="1" maxValue="7"/>
    </cacheField>
    <cacheField name="Monetary" numFmtId="0">
      <sharedItems containsSemiMixedTypes="0" containsString="0" containsNumber="1" containsInteger="1" minValue="500" maxValue="15000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/>
    </cacheField>
    <cacheField name="Segment" numFmtId="0">
      <sharedItems count="4">
        <s v="At Risk"/>
        <s v="Churn Risk"/>
        <s v="Champion"/>
        <s v="Loyal"/>
      </sharedItems>
    </cacheField>
    <cacheField name="Pla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un Sharma" refreshedDate="46134.59686539352" createdVersion="8" refreshedVersion="8" minRefreshableVersion="3" recordCount="6" xr:uid="{78B04DBF-0545-4310-94DA-140D1AC6F751}">
  <cacheSource type="worksheet">
    <worksheetSource name="Table1"/>
  </cacheSource>
  <cacheFields count="7">
    <cacheField name="Month" numFmtId="0">
      <sharedItems count="6">
        <s v="March"/>
        <s v="April"/>
        <s v="May"/>
        <s v="June"/>
        <s v="July"/>
        <s v="August"/>
      </sharedItems>
    </cacheField>
    <cacheField name="Rent" numFmtId="164">
      <sharedItems containsSemiMixedTypes="0" containsString="0" containsNumber="1" containsInteger="1" minValue="30000" maxValue="30000"/>
    </cacheField>
    <cacheField name="Electricity" numFmtId="164">
      <sharedItems containsSemiMixedTypes="0" containsString="0" containsNumber="1" containsInteger="1" minValue="20000" maxValue="20000"/>
    </cacheField>
    <cacheField name="Trainer Salary" numFmtId="164">
      <sharedItems containsSemiMixedTypes="0" containsString="0" containsNumber="1" containsInteger="1" minValue="12000" maxValue="12000"/>
    </cacheField>
    <cacheField name="Total Cost" numFmtId="164">
      <sharedItems containsSemiMixedTypes="0" containsString="0" containsNumber="1" containsInteger="1" minValue="62000" maxValue="62000"/>
    </cacheField>
    <cacheField name="Total Revenue" numFmtId="164">
      <sharedItems containsSemiMixedTypes="0" containsString="0" containsNumber="1" containsInteger="1" minValue="66200" maxValue="112200"/>
    </cacheField>
    <cacheField name="Profit (Net Income)" numFmtId="164">
      <sharedItems containsSemiMixedTypes="0" containsString="0" containsNumber="1" containsInteger="1" minValue="4200" maxValue="50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un Sharma" refreshedDate="46134.589295370373" backgroundQuery="1" createdVersion="8" refreshedVersion="8" minRefreshableVersion="3" recordCount="0" supportSubquery="1" supportAdvancedDrill="1" xr:uid="{316C532A-7F36-4BC9-AFC6-40490472245F}">
  <cacheSource type="external" connectionId="1"/>
  <cacheFields count="3">
    <cacheField name="[Range].[Month_Start_Date].[Month_Start_Date]" caption="Month_Start_Date" numFmtId="0" hierarchy="8" level="1">
      <sharedItems containsSemiMixedTypes="0" containsNonDate="0" containsDate="1" containsString="0" minDate="2025-03-01T00:00:00" maxDate="2025-08-02T00:00:00" count="6"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[Range].[Month_Start_Date (Month)].[Month_Start_Date (Month)]" caption="Month_Start_Date (Month)" numFmtId="0" hierarchy="11" level="1">
      <sharedItems count="6">
        <s v="Mar"/>
        <s v="Apr"/>
        <s v="May"/>
        <s v="Jun"/>
        <s v="Jul"/>
        <s v="Aug"/>
      </sharedItems>
    </cacheField>
    <cacheField name="[Measures].[Sum of Payment_Amount]" caption="Sum of Payment_Amount" numFmtId="0" hierarchy="15" level="32767"/>
  </cacheFields>
  <cacheHierarchies count="16">
    <cacheHierarchy uniqueName="[Range].[Serial Number]" caption="Serial Number" attribute="1" defaultMemberUniqueName="[Range].[Serial Number].[All]" allUniqueName="[Range].[Serial Number].[All]" dimensionUniqueName="[Range]" displayFolder="" count="0" memberValueDatatype="20" unbalanced="0"/>
    <cacheHierarchy uniqueName="[Range].[Payment_Date]" caption="Payment_Date" attribute="1" time="1" defaultMemberUniqueName="[Range].[Payment_Date].[All]" allUniqueName="[Range].[Payment_Date].[All]" dimensionUniqueName="[Range]" displayFolder="" count="0" memberValueDatatype="7" unbalanced="0"/>
    <cacheHierarchy uniqueName="[Range].[Member_id]" caption="Member_id" attribute="1" defaultMemberUniqueName="[Range].[Member_id].[All]" allUniqueName="[Range].[Member_id].[All]" dimensionUniqueName="[Range]" displayFolder="" count="0" memberValueDatatype="130" unbalanced="0"/>
    <cacheHierarchy uniqueName="[Range].[Member_Name]" caption="Member_Name" attribute="1" defaultMemberUniqueName="[Range].[Member_Name].[All]" allUniqueName="[Range].[Member_Name].[All]" dimensionUniqueName="[Range]" displayFolder="" count="0" memberValueDatatype="130" unbalanced="0"/>
    <cacheHierarchy uniqueName="[Range].[Payment_Amount]" caption="Payment_Amount" attribute="1" defaultMemberUniqueName="[Range].[Payment_Amount].[All]" allUniqueName="[Range].[Payment_Amount].[All]" dimensionUniqueName="[Range]" displayFolder="" count="0" memberValueDatatype="2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ervice_Type]" caption="Service_Type" attribute="1" defaultMemberUniqueName="[Range].[Service_Type].[All]" allUniqueName="[Range].[Service_Type].[All]" dimensionUniqueName="[Range]" displayFolder="" count="0" memberValueDatatype="130" unbalanced="0"/>
    <cacheHierarchy uniqueName="[Range].[Month_Start_Date]" caption="Month_Start_Date" attribute="1" time="1" defaultMemberUniqueName="[Range].[Month_Start_Date].[All]" allUniqueName="[Range].[Month_Start_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Expiry_Date]" caption="Expiry_Date" attribute="1" time="1" defaultMemberUniqueName="[Range].[Expiry_Date].[All]" allUniqueName="[Range].[Expiry_Date].[All]" dimensionUniqueName="[Range]" displayFolder="" count="0" memberValueDatatype="7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Month_Start_Date (Month)]" caption="Month_Start_Date (Month)" attribute="1" defaultMemberUniqueName="[Range].[Month_Start_Date (Month)].[All]" allUniqueName="[Range].[Month_Start_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onth_Start_Date (Month Index)]" caption="Month_Start_Date (Month Index)" attribute="1" defaultMemberUniqueName="[Range].[Month_Start_Date (Month Index)].[All]" allUniqueName="[Range].[Month_Start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ayment_Amount]" caption="Sum of Payment_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un Sharma" refreshedDate="46136.637874884262" createdVersion="8" refreshedVersion="8" minRefreshableVersion="3" recordCount="377" xr:uid="{AFF745E8-6858-4048-8088-75136D810609}">
  <cacheSource type="worksheet">
    <worksheetSource name="Table2"/>
  </cacheSource>
  <cacheFields count="11">
    <cacheField name="Serial Number" numFmtId="0">
      <sharedItems containsSemiMixedTypes="0" containsString="0" containsNumber="1" containsInteger="1" minValue="1" maxValue="377"/>
    </cacheField>
    <cacheField name="Payment_Date" numFmtId="14">
      <sharedItems containsSemiMixedTypes="0" containsNonDate="0" containsDate="1" containsString="0" minDate="2025-03-01T00:00:00" maxDate="2025-08-20T00:00:00"/>
    </cacheField>
    <cacheField name="Member_id" numFmtId="0">
      <sharedItems/>
    </cacheField>
    <cacheField name="Member_Name" numFmtId="0">
      <sharedItems/>
    </cacheField>
    <cacheField name="Payment_Amount" numFmtId="0">
      <sharedItems containsSemiMixedTypes="0" containsString="0" containsNumber="1" containsInteger="1" minValue="500" maxValue="7200"/>
    </cacheField>
    <cacheField name="Plan_type" numFmtId="0">
      <sharedItems/>
    </cacheField>
    <cacheField name="Payment_Method" numFmtId="0">
      <sharedItems/>
    </cacheField>
    <cacheField name="Service_Type" numFmtId="0">
      <sharedItems count="2">
        <s v="Normal"/>
        <s v="Personal Training"/>
      </sharedItems>
    </cacheField>
    <cacheField name="Month_Start_Date" numFmtId="14">
      <sharedItems containsSemiMixedTypes="0" containsNonDate="0" containsDate="1" containsString="0" minDate="2025-03-01T00:00:00" maxDate="2025-08-02T00:00:00"/>
    </cacheField>
    <cacheField name="Expiry_Date" numFmtId="14">
      <sharedItems containsSemiMixedTypes="0" containsNonDate="0" containsDate="1" containsString="0" minDate="2025-03-31T00:00:00" maxDate="2026-04-15T00:00:00"/>
    </cacheField>
    <cacheField name="Membership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s v="M001"/>
    <s v="Aayush Paul"/>
    <n v="1000"/>
    <s v="Monthly"/>
    <s v="Cash"/>
    <s v="Normal"/>
    <x v="0"/>
    <d v="2025-08-03T00:00:00"/>
    <x v="0"/>
  </r>
  <r>
    <s v="M002"/>
    <s v="Abdul Azir"/>
    <n v="1000"/>
    <s v="Monthly"/>
    <s v="Cash"/>
    <s v="Normal"/>
    <x v="1"/>
    <d v="2025-09-05T00:00:00"/>
    <x v="1"/>
  </r>
  <r>
    <s v="M002"/>
    <s v="Abdul Azir"/>
    <n v="1000"/>
    <s v="Monthly"/>
    <s v="Google Pay"/>
    <s v="Normal"/>
    <x v="0"/>
    <d v="2025-08-06T00:00:00"/>
    <x v="0"/>
  </r>
  <r>
    <s v="M003"/>
    <s v="Abhijit Karmakar"/>
    <n v="4000"/>
    <s v="3 Months"/>
    <s v="Google Pay"/>
    <s v="Normal"/>
    <x v="0"/>
    <d v="2025-10-23T00:00:00"/>
    <x v="1"/>
  </r>
  <r>
    <s v="M004"/>
    <s v="Abhijit Saha Bhowmik"/>
    <n v="1000"/>
    <s v="Monthly"/>
    <s v="Google Pay"/>
    <s v="Normal"/>
    <x v="2"/>
    <d v="2025-04-05T00:00:00"/>
    <x v="2"/>
  </r>
  <r>
    <s v="M004"/>
    <s v="Abhijit Saha Bhowmik"/>
    <n v="1000"/>
    <s v="Monthly"/>
    <s v="Google Pay"/>
    <s v="Normal"/>
    <x v="3"/>
    <d v="2025-05-12T00:00:00"/>
    <x v="2"/>
  </r>
  <r>
    <s v="M005"/>
    <s v="Aditya Kumar Sinha"/>
    <n v="1000"/>
    <s v="Monthly"/>
    <s v="Cash"/>
    <s v="Normal"/>
    <x v="4"/>
    <d v="2025-06-08T00:00:00"/>
    <x v="2"/>
  </r>
  <r>
    <s v="M006"/>
    <s v="Aishwarika Debnath"/>
    <n v="1500"/>
    <s v="Monthly"/>
    <s v="Cash"/>
    <s v="Normal"/>
    <x v="3"/>
    <d v="2025-05-04T00:00:00"/>
    <x v="2"/>
  </r>
  <r>
    <s v="M006"/>
    <s v="Aishwarika Debnath"/>
    <n v="1000"/>
    <s v="Monthly"/>
    <s v="Cash"/>
    <s v="Normal"/>
    <x v="1"/>
    <d v="2025-09-13T00:00:00"/>
    <x v="1"/>
  </r>
  <r>
    <s v="M007"/>
    <s v="Akash Nandi"/>
    <n v="1000"/>
    <s v="Monthly"/>
    <s v="Cash"/>
    <s v="Normal"/>
    <x v="1"/>
    <d v="2025-09-05T00:00:00"/>
    <x v="1"/>
  </r>
  <r>
    <s v="M008"/>
    <s v="Aman Paul"/>
    <n v="1000"/>
    <s v="Monthly"/>
    <s v="Google Pay"/>
    <s v="Normal"/>
    <x v="5"/>
    <d v="2025-07-07T00:00:00"/>
    <x v="2"/>
  </r>
  <r>
    <s v="M008"/>
    <s v="Aman Paul"/>
    <n v="1000"/>
    <s v="Monthly"/>
    <s v="Google Pay"/>
    <s v="Normal"/>
    <x v="0"/>
    <d v="2025-08-06T00:00:00"/>
    <x v="0"/>
  </r>
  <r>
    <s v="M008"/>
    <s v="Aman Paul"/>
    <n v="1000"/>
    <s v="Monthly"/>
    <s v="Google Pay"/>
    <s v="Normal"/>
    <x v="1"/>
    <d v="2025-09-17T00:00:00"/>
    <x v="1"/>
  </r>
  <r>
    <s v="M008"/>
    <s v="Aman Paul"/>
    <n v="1000"/>
    <s v="Monthly"/>
    <s v="Google Pay"/>
    <s v="Normal"/>
    <x v="3"/>
    <d v="2025-05-29T00:00:00"/>
    <x v="2"/>
  </r>
  <r>
    <s v="M009"/>
    <s v="Ambarish Mahalambish"/>
    <n v="1000"/>
    <s v="Monthly"/>
    <s v="Google Pay"/>
    <s v="Normal"/>
    <x v="1"/>
    <d v="2025-09-04T00:00:00"/>
    <x v="1"/>
  </r>
  <r>
    <s v="M010"/>
    <s v="Anal Sharma"/>
    <n v="2400"/>
    <s v="3 Months"/>
    <s v="Google Pay"/>
    <s v="Normal"/>
    <x v="5"/>
    <d v="2025-08-31T00:00:00"/>
    <x v="1"/>
  </r>
  <r>
    <s v="M010"/>
    <s v="Anal Sharma"/>
    <n v="1000"/>
    <s v="Monthly"/>
    <s v="Cash"/>
    <s v="Normal"/>
    <x v="4"/>
    <d v="2025-06-01T00:00:00"/>
    <x v="2"/>
  </r>
  <r>
    <s v="M010"/>
    <s v="Anal Sharma"/>
    <n v="1000"/>
    <s v="Monthly"/>
    <s v="Google Pay"/>
    <s v="Normal"/>
    <x v="3"/>
    <d v="2025-05-05T00:00:00"/>
    <x v="2"/>
  </r>
  <r>
    <s v="M010"/>
    <s v="Anal Sharma"/>
    <n v="1000"/>
    <s v="Monthly"/>
    <s v="Google Pay"/>
    <s v="Normal"/>
    <x v="2"/>
    <d v="2025-04-05T00:00:00"/>
    <x v="2"/>
  </r>
  <r>
    <s v="M011"/>
    <s v="Anamika Rupini"/>
    <n v="1000"/>
    <s v="Monthly"/>
    <s v="Google Pay"/>
    <s v="Normal"/>
    <x v="4"/>
    <d v="2025-06-05T00:00:00"/>
    <x v="2"/>
  </r>
  <r>
    <s v="M011"/>
    <s v="Anamika Rupini"/>
    <n v="1000"/>
    <s v="Monthly"/>
    <s v="Google Pay"/>
    <s v="Normal"/>
    <x v="5"/>
    <d v="2025-07-04T00:00:00"/>
    <x v="2"/>
  </r>
  <r>
    <s v="M011"/>
    <s v="Anamika Rupini"/>
    <n v="1000"/>
    <s v="Monthly"/>
    <s v="Google Pay"/>
    <s v="Normal"/>
    <x v="2"/>
    <d v="2025-04-17T00:00:00"/>
    <x v="2"/>
  </r>
  <r>
    <s v="M011"/>
    <s v="Anamika Rupini"/>
    <n v="1000"/>
    <s v="Monthly"/>
    <s v="Google Pay"/>
    <s v="Normal"/>
    <x v="0"/>
    <d v="2025-08-13T00:00:00"/>
    <x v="0"/>
  </r>
  <r>
    <s v="M012"/>
    <s v="Anamika Sharma"/>
    <n v="1000"/>
    <s v="Monthly"/>
    <s v="Google Pay"/>
    <s v="Normal"/>
    <x v="1"/>
    <d v="2025-09-05T00:00:00"/>
    <x v="1"/>
  </r>
  <r>
    <s v="M013"/>
    <s v="Aniket Lodh"/>
    <n v="2400"/>
    <s v="3 Months"/>
    <s v="Google Pay"/>
    <s v="Normal"/>
    <x v="3"/>
    <d v="2025-07-10T00:00:00"/>
    <x v="2"/>
  </r>
  <r>
    <s v="M014"/>
    <s v="Aniket Sinha"/>
    <n v="1000"/>
    <s v="Monthly"/>
    <s v="Cash"/>
    <s v="Normal"/>
    <x v="2"/>
    <d v="2025-04-10T00:00:00"/>
    <x v="2"/>
  </r>
  <r>
    <s v="M014"/>
    <s v="Aniket Sinha"/>
    <n v="1000"/>
    <s v="Monthly"/>
    <s v="Cash"/>
    <s v="Normal"/>
    <x v="4"/>
    <d v="2025-06-18T00:00:00"/>
    <x v="2"/>
  </r>
  <r>
    <s v="M014"/>
    <s v="Aniket Sinha"/>
    <n v="1000"/>
    <s v="Monthly"/>
    <s v="Cash"/>
    <s v="Normal"/>
    <x v="3"/>
    <d v="2025-05-16T00:00:00"/>
    <x v="2"/>
  </r>
  <r>
    <s v="M014"/>
    <s v="Aniket Sinha"/>
    <n v="1000"/>
    <s v="Monthly"/>
    <s v="Google Pay"/>
    <s v="Normal"/>
    <x v="0"/>
    <d v="2025-08-17T00:00:00"/>
    <x v="0"/>
  </r>
  <r>
    <s v="M014"/>
    <s v="Aniket Sinha"/>
    <n v="1000"/>
    <s v="Monthly"/>
    <s v="Cash"/>
    <s v="Normal"/>
    <x v="5"/>
    <d v="2025-07-30T00:00:00"/>
    <x v="2"/>
  </r>
  <r>
    <s v="M015"/>
    <s v="Aninda Podder"/>
    <n v="1000"/>
    <s v="Monthly"/>
    <s v="Google Pay"/>
    <s v="Normal"/>
    <x v="4"/>
    <d v="2025-06-15T00:00:00"/>
    <x v="2"/>
  </r>
  <r>
    <s v="M015"/>
    <s v="Aninda Podder"/>
    <n v="1000"/>
    <s v="Monthly"/>
    <s v="Cash"/>
    <s v="Normal"/>
    <x v="3"/>
    <d v="2025-05-16T00:00:00"/>
    <x v="2"/>
  </r>
  <r>
    <s v="M016"/>
    <s v="Ankit Das"/>
    <n v="1000"/>
    <s v="Monthly"/>
    <s v="Cash"/>
    <s v="Normal"/>
    <x v="2"/>
    <d v="2025-04-12T00:00:00"/>
    <x v="2"/>
  </r>
  <r>
    <s v="M016"/>
    <s v="Ankit Das"/>
    <n v="1000"/>
    <s v="Monthly"/>
    <s v="Google Pay"/>
    <s v="Normal"/>
    <x v="3"/>
    <d v="2025-05-18T00:00:00"/>
    <x v="2"/>
  </r>
  <r>
    <s v="M017"/>
    <s v="Antra Bhattacharjee"/>
    <n v="2400"/>
    <s v="3 Months"/>
    <s v="Cash"/>
    <s v="Normal"/>
    <x v="4"/>
    <d v="2025-08-07T00:00:00"/>
    <x v="0"/>
  </r>
  <r>
    <s v="M018"/>
    <s v="Anukul Das "/>
    <n v="2000"/>
    <s v="Monthly"/>
    <s v="Cash"/>
    <s v="PT"/>
    <x v="1"/>
    <d v="2025-09-05T00:00:00"/>
    <x v="1"/>
  </r>
  <r>
    <s v="M019"/>
    <s v="Apurba Ghosh"/>
    <n v="1000"/>
    <s v="Monthly"/>
    <s v="Cash"/>
    <s v="Normal"/>
    <x v="0"/>
    <d v="2025-08-16T00:00:00"/>
    <x v="0"/>
  </r>
  <r>
    <s v="M019"/>
    <s v="Apurba Ghosh"/>
    <n v="1000"/>
    <s v="Monthly"/>
    <s v="Cash"/>
    <s v="Normal"/>
    <x v="0"/>
    <d v="2025-08-21T00:00:00"/>
    <x v="0"/>
  </r>
  <r>
    <s v="M019"/>
    <s v="Apurba Ghosh"/>
    <n v="1000"/>
    <s v="Monthly"/>
    <s v="Google Pay"/>
    <s v="Normal"/>
    <x v="3"/>
    <d v="2025-05-25T00:00:00"/>
    <x v="2"/>
  </r>
  <r>
    <s v="M020"/>
    <s v="Apurba Sarkar"/>
    <n v="700"/>
    <s v="Monthly"/>
    <s v="Google Pay"/>
    <s v="Normal"/>
    <x v="3"/>
    <d v="2025-05-01T00:00:00"/>
    <x v="2"/>
  </r>
  <r>
    <s v="M020"/>
    <s v="Apurba Sarkar"/>
    <n v="700"/>
    <s v="Monthly"/>
    <s v="Google Pay"/>
    <s v="Normal"/>
    <x v="4"/>
    <d v="2025-06-18T00:00:00"/>
    <x v="2"/>
  </r>
  <r>
    <s v="M021"/>
    <s v="Arghadeep Dhar"/>
    <n v="1000"/>
    <s v="Monthly"/>
    <s v="Cash"/>
    <s v="Normal"/>
    <x v="0"/>
    <d v="2025-08-22T00:00:00"/>
    <x v="0"/>
  </r>
  <r>
    <s v="M022"/>
    <s v="Arghajeet Das"/>
    <n v="2400"/>
    <s v="3 Months"/>
    <s v="Google Pay"/>
    <s v="Normal"/>
    <x v="3"/>
    <d v="2025-07-13T00:00:00"/>
    <x v="2"/>
  </r>
  <r>
    <s v="M023"/>
    <s v="Arindam Ghosh"/>
    <n v="1000"/>
    <s v="Monthly"/>
    <s v="Google Pay"/>
    <s v="Normal"/>
    <x v="2"/>
    <d v="2025-04-17T00:00:00"/>
    <x v="2"/>
  </r>
  <r>
    <s v="M024"/>
    <s v="Arkyajit Bhattacharjee"/>
    <n v="1000"/>
    <s v="Monthly"/>
    <s v="Google Pay"/>
    <s v="Normal"/>
    <x v="2"/>
    <d v="2025-04-09T00:00:00"/>
    <x v="2"/>
  </r>
  <r>
    <s v="M024"/>
    <s v="Arkyajit Bhattacharjee"/>
    <n v="1000"/>
    <s v="Monthly"/>
    <s v="Cash"/>
    <s v="Normal"/>
    <x v="3"/>
    <d v="2025-05-14T00:00:00"/>
    <x v="2"/>
  </r>
  <r>
    <s v="M024"/>
    <s v="Arkyajit Bhattacharjee"/>
    <n v="1000"/>
    <s v="Monthly"/>
    <s v="Cash"/>
    <s v="Normal"/>
    <x v="0"/>
    <d v="2025-08-15T00:00:00"/>
    <x v="0"/>
  </r>
  <r>
    <s v="M025"/>
    <s v="Ashish Laskar"/>
    <n v="4200"/>
    <s v="3 Months"/>
    <s v="Google Pay"/>
    <s v="Normal"/>
    <x v="3"/>
    <d v="2025-07-06T00:00:00"/>
    <x v="2"/>
  </r>
  <r>
    <s v="M026"/>
    <s v="Ashit Karmakar"/>
    <n v="1000"/>
    <s v="Monthly"/>
    <s v="Google Pay"/>
    <s v="Normal"/>
    <x v="4"/>
    <d v="2025-06-14T00:00:00"/>
    <x v="2"/>
  </r>
  <r>
    <s v="M027"/>
    <s v="Ashwarika Debnath"/>
    <n v="1000"/>
    <s v="Monthly"/>
    <s v="Cash"/>
    <s v="Normal"/>
    <x v="4"/>
    <d v="2025-06-11T00:00:00"/>
    <x v="2"/>
  </r>
  <r>
    <s v="M028"/>
    <s v="Ayushi Acharjee"/>
    <n v="1000"/>
    <s v="Monthly"/>
    <s v="Google Pay"/>
    <s v="Normal"/>
    <x v="0"/>
    <d v="2025-07-31T00:00:00"/>
    <x v="2"/>
  </r>
  <r>
    <s v="M028"/>
    <s v="Ayushi Acharjee"/>
    <n v="1000"/>
    <s v="Monthly"/>
    <s v="Google Pay"/>
    <s v="Normal"/>
    <x v="3"/>
    <d v="2025-05-12T00:00:00"/>
    <x v="2"/>
  </r>
  <r>
    <s v="M028"/>
    <s v="Ayushi Acharjee"/>
    <n v="1000"/>
    <s v="Monthly"/>
    <s v="Google Pay"/>
    <s v="Normal"/>
    <x v="2"/>
    <d v="2025-04-09T00:00:00"/>
    <x v="2"/>
  </r>
  <r>
    <s v="M028"/>
    <s v="Ayushi Acharjee"/>
    <n v="1000"/>
    <s v="Monthly"/>
    <s v="Google Pay"/>
    <s v="Normal"/>
    <x v="4"/>
    <d v="2025-06-13T00:00:00"/>
    <x v="2"/>
  </r>
  <r>
    <s v="M029"/>
    <s v="Banti Das"/>
    <n v="4000"/>
    <s v="3 Months"/>
    <s v="Cash"/>
    <s v="Normal"/>
    <x v="3"/>
    <d v="2025-06-30T00:00:00"/>
    <x v="2"/>
  </r>
  <r>
    <s v="M030"/>
    <s v="Barun Sharma"/>
    <n v="1000"/>
    <s v="Monthly"/>
    <s v="Cash"/>
    <s v="Normal"/>
    <x v="5"/>
    <d v="2025-07-03T00:00:00"/>
    <x v="2"/>
  </r>
  <r>
    <s v="M030"/>
    <s v="Barun Sharma"/>
    <n v="1000"/>
    <s v="Monthly"/>
    <s v="Cash"/>
    <s v="Normal"/>
    <x v="1"/>
    <d v="2025-09-04T00:00:00"/>
    <x v="1"/>
  </r>
  <r>
    <s v="M030"/>
    <s v="Barun Sharma"/>
    <n v="1000"/>
    <s v="Monthly"/>
    <s v="Cash"/>
    <s v="Normal"/>
    <x v="3"/>
    <d v="2025-05-11T00:00:00"/>
    <x v="2"/>
  </r>
  <r>
    <s v="M030"/>
    <s v="Barun Sharma"/>
    <n v="1000"/>
    <s v="Monthly"/>
    <s v="Cash"/>
    <s v="Normal"/>
    <x v="4"/>
    <d v="2025-06-08T00:00:00"/>
    <x v="2"/>
  </r>
  <r>
    <s v="M030"/>
    <s v="Barun Sharma"/>
    <n v="1000"/>
    <s v="Monthly"/>
    <s v="Cash"/>
    <s v="Normal"/>
    <x v="2"/>
    <d v="2025-04-09T00:00:00"/>
    <x v="2"/>
  </r>
  <r>
    <s v="M030"/>
    <s v="Barun Sharma"/>
    <n v="1000"/>
    <s v="Monthly"/>
    <s v="Cash"/>
    <s v="Normal"/>
    <x v="0"/>
    <d v="2025-08-09T00:00:00"/>
    <x v="0"/>
  </r>
  <r>
    <s v="M031"/>
    <s v="Basuraj Bhattacharjee"/>
    <n v="1000"/>
    <s v="Monthly"/>
    <s v="Google Pay"/>
    <s v="Normal"/>
    <x v="2"/>
    <d v="2025-04-03T00:00:00"/>
    <x v="2"/>
  </r>
  <r>
    <s v="M031"/>
    <s v="Basuraj Bhattacharjee"/>
    <n v="1000"/>
    <s v="Monthly"/>
    <s v="Google Pay"/>
    <s v="Normal"/>
    <x v="3"/>
    <d v="2025-05-05T00:00:00"/>
    <x v="2"/>
  </r>
  <r>
    <s v="M031"/>
    <s v="Basuraj Bhattacharjee"/>
    <n v="1000"/>
    <s v="Monthly"/>
    <s v="Google Pay"/>
    <s v="Normal"/>
    <x v="0"/>
    <d v="2025-08-03T00:00:00"/>
    <x v="0"/>
  </r>
  <r>
    <s v="M031"/>
    <s v="Basuraj Bhattacharjee"/>
    <n v="1000"/>
    <s v="Monthly"/>
    <s v="Google Pay"/>
    <s v="Normal"/>
    <x v="5"/>
    <d v="2025-07-18T00:00:00"/>
    <x v="2"/>
  </r>
  <r>
    <s v="M032"/>
    <s v="Bipati Bhusan Roy"/>
    <n v="1000"/>
    <s v="Monthly"/>
    <s v="Cash"/>
    <s v="Normal"/>
    <x v="2"/>
    <d v="2025-04-06T00:00:00"/>
    <x v="2"/>
  </r>
  <r>
    <s v="M032"/>
    <s v="Bipati Bhusan Roy"/>
    <n v="1000"/>
    <s v="Monthly"/>
    <s v="Cash"/>
    <s v="Normal"/>
    <x v="4"/>
    <d v="2025-06-07T00:00:00"/>
    <x v="2"/>
  </r>
  <r>
    <s v="M032"/>
    <s v="Bipati Bhusan Roy"/>
    <n v="1000"/>
    <s v="Monthly"/>
    <s v="Cash"/>
    <s v="Normal"/>
    <x v="1"/>
    <d v="2025-09-05T00:00:00"/>
    <x v="1"/>
  </r>
  <r>
    <s v="M032"/>
    <s v="Bipati Bhusan Roy"/>
    <n v="1000"/>
    <s v="Monthly"/>
    <s v="Google Pay"/>
    <s v="Normal"/>
    <x v="0"/>
    <d v="2025-08-08T00:00:00"/>
    <x v="0"/>
  </r>
  <r>
    <s v="M032"/>
    <s v="Bipati Bhusan Roy"/>
    <n v="1000"/>
    <s v="Monthly"/>
    <s v="Cash"/>
    <s v="Normal"/>
    <x v="3"/>
    <d v="2025-05-10T00:00:00"/>
    <x v="2"/>
  </r>
  <r>
    <s v="M032"/>
    <s v="Bipati Bhusan Roy"/>
    <n v="1000"/>
    <s v="Monthly"/>
    <s v="Google Pay"/>
    <s v="Normal"/>
    <x v="5"/>
    <d v="2025-07-16T00:00:00"/>
    <x v="2"/>
  </r>
  <r>
    <s v="M033"/>
    <s v="Bishal Roy"/>
    <n v="1000"/>
    <s v="Monthly"/>
    <s v="Cash"/>
    <s v="Normal"/>
    <x v="3"/>
    <d v="2025-05-11T00:00:00"/>
    <x v="2"/>
  </r>
  <r>
    <s v="M034"/>
    <s v="Biswajit Das"/>
    <n v="1000"/>
    <s v="Monthly"/>
    <s v="Cash"/>
    <s v="Normal"/>
    <x v="1"/>
    <d v="2025-09-04T00:00:00"/>
    <x v="1"/>
  </r>
  <r>
    <s v="M035"/>
    <s v="Blered Miya"/>
    <n v="1000"/>
    <s v="Monthly"/>
    <s v="Cash"/>
    <s v="Normal"/>
    <x v="0"/>
    <d v="2025-08-29T00:00:00"/>
    <x v="0"/>
  </r>
  <r>
    <s v="M036"/>
    <s v="Chandraj Das"/>
    <n v="1000"/>
    <s v="Monthly"/>
    <s v="Google Pay"/>
    <s v="Normal"/>
    <x v="5"/>
    <d v="2025-07-16T00:00:00"/>
    <x v="2"/>
  </r>
  <r>
    <s v="M037"/>
    <s v="Daipayan Debnath"/>
    <n v="1000"/>
    <s v="Monthly"/>
    <s v="Google Pay"/>
    <s v="Normal"/>
    <x v="4"/>
    <d v="2025-06-08T00:00:00"/>
    <x v="2"/>
  </r>
  <r>
    <s v="M037"/>
    <s v="Daipayan Debnath"/>
    <n v="1000"/>
    <s v="Monthly"/>
    <s v="Google Pay"/>
    <s v="Normal"/>
    <x v="0"/>
    <d v="2025-08-09T00:00:00"/>
    <x v="0"/>
  </r>
  <r>
    <s v="M037"/>
    <s v="Daipayan Debnath"/>
    <n v="1000"/>
    <s v="Monthly"/>
    <s v="Cash"/>
    <s v="Normal"/>
    <x v="1"/>
    <d v="2025-09-12T00:00:00"/>
    <x v="1"/>
  </r>
  <r>
    <s v="M037"/>
    <s v="Daipayan Debnath"/>
    <n v="1000"/>
    <s v="Monthly"/>
    <s v="Cash"/>
    <s v="Normal"/>
    <x v="5"/>
    <d v="2025-07-16T00:00:00"/>
    <x v="2"/>
  </r>
  <r>
    <s v="M038"/>
    <s v="Daipayan Paul"/>
    <n v="1000"/>
    <s v="Monthly"/>
    <s v="Cash"/>
    <s v="Normal"/>
    <x v="2"/>
    <d v="2025-04-09T00:00:00"/>
    <x v="2"/>
  </r>
  <r>
    <s v="M038"/>
    <s v="Daipayan Paul"/>
    <n v="1000"/>
    <s v="Monthly"/>
    <s v="Cash"/>
    <s v="Normal"/>
    <x v="4"/>
    <d v="2025-06-18T00:00:00"/>
    <x v="2"/>
  </r>
  <r>
    <s v="M038"/>
    <s v="Daipayan Paul"/>
    <n v="2000"/>
    <s v="Monthly"/>
    <s v="Cash"/>
    <s v="PT"/>
    <x v="0"/>
    <d v="2025-08-14T00:00:00"/>
    <x v="0"/>
  </r>
  <r>
    <s v="M039"/>
    <s v="Dayal Debnath"/>
    <n v="3000"/>
    <s v="3 Months"/>
    <s v="Google Pay"/>
    <s v="PT"/>
    <x v="5"/>
    <d v="2025-09-01T00:00:00"/>
    <x v="1"/>
  </r>
  <r>
    <s v="M040"/>
    <s v="Debashish Choudhury"/>
    <n v="1000"/>
    <s v="Monthly"/>
    <s v="Google Pay"/>
    <s v="Normal"/>
    <x v="4"/>
    <d v="2025-06-07T00:00:00"/>
    <x v="2"/>
  </r>
  <r>
    <s v="M040"/>
    <s v="Debashish Choudhury"/>
    <n v="1000"/>
    <s v="Monthly"/>
    <s v="Google Pay"/>
    <s v="Normal"/>
    <x v="3"/>
    <d v="2025-05-10T00:00:00"/>
    <x v="2"/>
  </r>
  <r>
    <s v="M041"/>
    <s v="Debasish Ghosh"/>
    <n v="1000"/>
    <s v="Monthly"/>
    <s v="Google Pay"/>
    <s v="Normal"/>
    <x v="1"/>
    <d v="2025-09-04T00:00:00"/>
    <x v="1"/>
  </r>
  <r>
    <s v="M042"/>
    <s v="Deep Saha"/>
    <n v="1000"/>
    <s v="Monthly"/>
    <s v="Google Pay"/>
    <s v="Normal"/>
    <x v="0"/>
    <d v="2025-08-13T00:00:00"/>
    <x v="0"/>
  </r>
  <r>
    <s v="M043"/>
    <s v="Deepjyoti Ghosh"/>
    <n v="1000"/>
    <s v="Monthly"/>
    <s v="Cash"/>
    <s v="Normal"/>
    <x v="2"/>
    <d v="2025-03-31T00:00:00"/>
    <x v="2"/>
  </r>
  <r>
    <s v="M043"/>
    <s v="Deepjyoti Ghosh"/>
    <n v="1000"/>
    <s v="Monthly"/>
    <s v="Google Pay"/>
    <s v="Normal"/>
    <x v="3"/>
    <d v="2025-05-10T00:00:00"/>
    <x v="2"/>
  </r>
  <r>
    <s v="M044"/>
    <s v="Diksha Chaudhury"/>
    <n v="4800"/>
    <s v="6 Months"/>
    <s v="Cash"/>
    <s v="Normal"/>
    <x v="2"/>
    <d v="2025-08-31T00:00:00"/>
    <x v="1"/>
  </r>
  <r>
    <s v="M044"/>
    <s v="Diksha Chaudhury"/>
    <n v="4200"/>
    <s v="3 Months"/>
    <s v="Cash"/>
    <s v="Normal"/>
    <x v="5"/>
    <d v="2025-09-16T00:00:00"/>
    <x v="1"/>
  </r>
  <r>
    <s v="M045"/>
    <s v="Dipayan Paul"/>
    <n v="1000"/>
    <s v="Monthly"/>
    <s v="Cash"/>
    <s v="Normal"/>
    <x v="5"/>
    <d v="2025-07-24T00:00:00"/>
    <x v="2"/>
  </r>
  <r>
    <s v="M046"/>
    <s v="Disha Malakar"/>
    <n v="3000"/>
    <s v="3 Months"/>
    <s v="Cash"/>
    <s v="PT"/>
    <x v="0"/>
    <d v="2025-09-30T00:00:00"/>
    <x v="1"/>
  </r>
  <r>
    <s v="M046"/>
    <s v="Disha Malakar"/>
    <n v="3000"/>
    <s v="3 Months"/>
    <s v="Cash"/>
    <s v="PT"/>
    <x v="5"/>
    <d v="2025-09-04T00:00:00"/>
    <x v="1"/>
  </r>
  <r>
    <s v="M047"/>
    <s v="Doyel Banik"/>
    <n v="4000"/>
    <s v="3 Months"/>
    <s v="Cash"/>
    <s v="Normal"/>
    <x v="3"/>
    <d v="2025-06-30T00:00:00"/>
    <x v="2"/>
  </r>
  <r>
    <s v="M048"/>
    <s v="Dr. Piyali Das"/>
    <n v="2400"/>
    <s v="3 Months"/>
    <s v="Cash"/>
    <s v="Normal"/>
    <x v="4"/>
    <d v="2025-07-30T00:00:00"/>
    <x v="2"/>
  </r>
  <r>
    <s v="M049"/>
    <s v="Enoush Debbarma"/>
    <n v="1000"/>
    <s v="Monthly"/>
    <s v="Google Pay"/>
    <s v="Normal"/>
    <x v="4"/>
    <d v="2025-06-08T00:00:00"/>
    <x v="2"/>
  </r>
  <r>
    <s v="M049"/>
    <s v="Enoush Debbarma"/>
    <n v="1000"/>
    <s v="Monthly"/>
    <s v="Google Pay"/>
    <s v="Normal"/>
    <x v="3"/>
    <d v="2025-05-14T00:00:00"/>
    <x v="2"/>
  </r>
  <r>
    <s v="M050"/>
    <s v="G. Ranyea Singha"/>
    <n v="1000"/>
    <s v="Monthly"/>
    <s v="Google Pay"/>
    <s v="Normal"/>
    <x v="5"/>
    <d v="2025-07-09T00:00:00"/>
    <x v="2"/>
  </r>
  <r>
    <s v="M051"/>
    <s v="Gourab Ghosh"/>
    <n v="800"/>
    <s v="Monthly"/>
    <s v="Cash"/>
    <s v="Normal"/>
    <x v="0"/>
    <d v="2025-08-04T00:00:00"/>
    <x v="0"/>
  </r>
  <r>
    <s v="M051"/>
    <s v="Gourab Ghosh"/>
    <n v="2000"/>
    <s v="Monthly"/>
    <s v="Google Pay"/>
    <s v="Normal"/>
    <x v="1"/>
    <d v="2025-09-05T00:00:00"/>
    <x v="1"/>
  </r>
  <r>
    <s v="M051"/>
    <s v="Gourab Ghosh"/>
    <n v="800"/>
    <s v="Monthly"/>
    <s v="Google Pay"/>
    <s v="Normal"/>
    <x v="4"/>
    <d v="2025-06-13T00:00:00"/>
    <x v="2"/>
  </r>
  <r>
    <s v="M051"/>
    <s v="Gourab Ghosh"/>
    <n v="800"/>
    <s v="Monthly"/>
    <s v="Google Pay"/>
    <s v="Normal"/>
    <x v="3"/>
    <d v="2025-05-10T00:00:00"/>
    <x v="2"/>
  </r>
  <r>
    <s v="M052"/>
    <s v="Gourab Majumder"/>
    <n v="2400"/>
    <s v="3 Months"/>
    <s v="Cash"/>
    <s v="Normal"/>
    <x v="3"/>
    <d v="2025-07-10T00:00:00"/>
    <x v="2"/>
  </r>
  <r>
    <s v="M053"/>
    <s v="Himangshu Basfore"/>
    <n v="1000"/>
    <s v="Monthly"/>
    <s v="Cash"/>
    <s v="Normal"/>
    <x v="5"/>
    <d v="2025-07-19T00:00:00"/>
    <x v="2"/>
  </r>
  <r>
    <s v="M053"/>
    <s v="Himangshu Basfore"/>
    <n v="1000"/>
    <s v="Monthly"/>
    <s v="Cash"/>
    <s v="Normal"/>
    <x v="0"/>
    <d v="2025-08-14T00:00:00"/>
    <x v="0"/>
  </r>
  <r>
    <s v="M054"/>
    <s v="Himel Sinha"/>
    <n v="1000"/>
    <s v="Monthly"/>
    <s v="Cash"/>
    <s v="Normal"/>
    <x v="5"/>
    <d v="2025-07-05T00:00:00"/>
    <x v="2"/>
  </r>
  <r>
    <s v="M054"/>
    <s v="Himel Sinha"/>
    <n v="1000"/>
    <s v="Monthly"/>
    <s v="Cash"/>
    <s v="Normal"/>
    <x v="2"/>
    <d v="2025-04-09T00:00:00"/>
    <x v="2"/>
  </r>
  <r>
    <s v="M055"/>
    <s v="Hriday Debnath"/>
    <n v="1000"/>
    <s v="Monthly"/>
    <s v="Google Pay"/>
    <s v="Normal"/>
    <x v="3"/>
    <d v="2025-05-04T00:00:00"/>
    <x v="2"/>
  </r>
  <r>
    <s v="M056"/>
    <s v="Irfan Reheman"/>
    <n v="2400"/>
    <s v="3 Months"/>
    <s v="Google Pay"/>
    <s v="Normal"/>
    <x v="0"/>
    <d v="2025-10-02T00:00:00"/>
    <x v="1"/>
  </r>
  <r>
    <s v="M057"/>
    <s v="Jagriti Datta"/>
    <n v="1000"/>
    <s v="Monthly"/>
    <s v="Google Pay"/>
    <s v="Normal"/>
    <x v="1"/>
    <d v="2025-09-02T00:00:00"/>
    <x v="1"/>
  </r>
  <r>
    <s v="M057"/>
    <s v="Jagriti Datta"/>
    <n v="1000"/>
    <s v="Monthly"/>
    <s v="Google Pay"/>
    <s v="Normal"/>
    <x v="0"/>
    <d v="2025-07-31T00:00:00"/>
    <x v="2"/>
  </r>
  <r>
    <s v="M058"/>
    <s v="Jayanta Paul"/>
    <n v="2400"/>
    <s v="3 Months"/>
    <s v="Cash"/>
    <s v="Normal"/>
    <x v="5"/>
    <d v="2025-09-17T00:00:00"/>
    <x v="1"/>
  </r>
  <r>
    <s v="M059"/>
    <s v="Jayasree Debnath"/>
    <n v="1000"/>
    <s v="Monthly"/>
    <s v="Google Pay"/>
    <s v="Normal"/>
    <x v="5"/>
    <d v="2025-07-06T00:00:00"/>
    <x v="2"/>
  </r>
  <r>
    <s v="M059"/>
    <s v="Jayasree Debnath"/>
    <n v="1000"/>
    <s v="Monthly"/>
    <s v="Google Pay"/>
    <s v="Normal"/>
    <x v="1"/>
    <d v="2025-09-10T00:00:00"/>
    <x v="1"/>
  </r>
  <r>
    <s v="M060"/>
    <s v="Jordan Debbarma"/>
    <n v="1000"/>
    <s v="Monthly"/>
    <s v="Google Pay"/>
    <s v="Normal"/>
    <x v="5"/>
    <d v="2025-07-30T00:00:00"/>
    <x v="2"/>
  </r>
  <r>
    <s v="M060"/>
    <s v="Jordan Debbarma"/>
    <n v="500"/>
    <s v="Monthly"/>
    <s v="Cash"/>
    <s v="Normal"/>
    <x v="0"/>
    <d v="2025-08-30T00:00:00"/>
    <x v="0"/>
  </r>
  <r>
    <s v="M061"/>
    <s v="Joy Shree Debnath"/>
    <n v="1000"/>
    <s v="Monthly"/>
    <s v="Google Pay"/>
    <s v="Normal"/>
    <x v="2"/>
    <d v="2025-04-19T00:00:00"/>
    <x v="2"/>
  </r>
  <r>
    <s v="M062"/>
    <s v="Jyotirmoy Das Choudhury"/>
    <n v="2400"/>
    <s v="3 Months"/>
    <s v="Google Pay"/>
    <s v="Normal"/>
    <x v="1"/>
    <d v="2025-11-03T00:00:00"/>
    <x v="1"/>
  </r>
  <r>
    <s v="M063"/>
    <s v="Kallol Roy"/>
    <n v="1000"/>
    <s v="Monthly"/>
    <s v="Cash"/>
    <s v="Normal"/>
    <x v="5"/>
    <d v="2025-07-02T00:00:00"/>
    <x v="2"/>
  </r>
  <r>
    <s v="M064"/>
    <s v="Karnajit Dey"/>
    <n v="1000"/>
    <s v="Monthly"/>
    <s v="Google Pay"/>
    <s v="Normal"/>
    <x v="3"/>
    <d v="2025-05-14T00:00:00"/>
    <x v="2"/>
  </r>
  <r>
    <s v="M065"/>
    <s v="Kishor Das"/>
    <n v="1000"/>
    <s v="Monthly"/>
    <s v="Cash"/>
    <s v="Normal"/>
    <x v="2"/>
    <d v="2025-04-04T00:00:00"/>
    <x v="2"/>
  </r>
  <r>
    <s v="M065"/>
    <s v="Kishor Das"/>
    <n v="1000"/>
    <s v="Monthly"/>
    <s v="Cash"/>
    <s v="Normal"/>
    <x v="1"/>
    <d v="2025-09-05T00:00:00"/>
    <x v="1"/>
  </r>
  <r>
    <s v="M065"/>
    <s v="Kishor Das"/>
    <n v="1000"/>
    <s v="Monthly"/>
    <s v="Cash"/>
    <s v="Normal"/>
    <x v="4"/>
    <d v="2025-06-14T00:00:00"/>
    <x v="2"/>
  </r>
  <r>
    <s v="M065"/>
    <s v="Kishor Das"/>
    <n v="1000"/>
    <s v="Monthly"/>
    <s v="Cash"/>
    <s v="Normal"/>
    <x v="5"/>
    <d v="2025-07-11T00:00:00"/>
    <x v="2"/>
  </r>
  <r>
    <s v="M065"/>
    <s v="Kishor Das"/>
    <n v="1000"/>
    <s v="Monthly"/>
    <s v="Cash"/>
    <s v="Normal"/>
    <x v="3"/>
    <d v="2025-05-10T00:00:00"/>
    <x v="2"/>
  </r>
  <r>
    <s v="M065"/>
    <s v="Kishor Das"/>
    <n v="1000"/>
    <s v="Monthly"/>
    <s v="Cash"/>
    <s v="Normal"/>
    <x v="0"/>
    <d v="2025-08-10T00:00:00"/>
    <x v="0"/>
  </r>
  <r>
    <s v="M066"/>
    <s v="Koushik Das"/>
    <n v="2400"/>
    <s v="3 Months"/>
    <s v="Google Pay"/>
    <s v="Normal"/>
    <x v="5"/>
    <d v="2025-09-05T00:00:00"/>
    <x v="1"/>
  </r>
  <r>
    <s v="M067"/>
    <s v="Krishan Bhattacharjee"/>
    <n v="1000"/>
    <s v="Monthly"/>
    <s v="Google Pay"/>
    <s v="Normal"/>
    <x v="2"/>
    <d v="2025-04-10T00:00:00"/>
    <x v="2"/>
  </r>
  <r>
    <s v="M067"/>
    <s v="Krishan Bhattacharjee"/>
    <n v="1000"/>
    <s v="Monthly"/>
    <s v="Google Pay"/>
    <s v="Normal"/>
    <x v="4"/>
    <d v="2025-06-22T00:00:00"/>
    <x v="2"/>
  </r>
  <r>
    <s v="M067"/>
    <s v="Krishan Bhattacharjee"/>
    <n v="1000"/>
    <s v="Monthly"/>
    <s v="Google Pay"/>
    <s v="Normal"/>
    <x v="5"/>
    <d v="2025-07-26T00:00:00"/>
    <x v="2"/>
  </r>
  <r>
    <s v="M067"/>
    <s v="Krishan Bhattacharjee"/>
    <n v="1000"/>
    <s v="Monthly"/>
    <s v="Google Pay"/>
    <s v="Normal"/>
    <x v="0"/>
    <d v="2025-08-24T00:00:00"/>
    <x v="0"/>
  </r>
  <r>
    <s v="M068"/>
    <s v="Krishan Bhowmik"/>
    <n v="1000"/>
    <s v="Monthly"/>
    <s v="Cash"/>
    <s v="Normal"/>
    <x v="5"/>
    <d v="2025-07-18T00:00:00"/>
    <x v="2"/>
  </r>
  <r>
    <s v="M069"/>
    <s v="Kunal Debbarma"/>
    <n v="1000"/>
    <s v="Monthly"/>
    <s v="Cash"/>
    <s v="Normal"/>
    <x v="2"/>
    <d v="2025-04-02T00:00:00"/>
    <x v="2"/>
  </r>
  <r>
    <s v="M069"/>
    <s v="Kunal Debbarma"/>
    <n v="1000"/>
    <s v="Monthly"/>
    <s v="Cash"/>
    <s v="Normal"/>
    <x v="4"/>
    <d v="2025-06-01T00:00:00"/>
    <x v="2"/>
  </r>
  <r>
    <s v="M069"/>
    <s v="Kunal Debbarma"/>
    <n v="1000"/>
    <s v="Monthly"/>
    <s v="Cash"/>
    <s v="Normal"/>
    <x v="3"/>
    <d v="2025-05-05T00:00:00"/>
    <x v="2"/>
  </r>
  <r>
    <s v="M069"/>
    <s v="Kunal Debbarma"/>
    <n v="1000"/>
    <s v="Monthly"/>
    <s v="Cash"/>
    <s v="Normal"/>
    <x v="0"/>
    <d v="2025-08-03T00:00:00"/>
    <x v="0"/>
  </r>
  <r>
    <s v="M069"/>
    <s v="Kunal Debbarma"/>
    <n v="1000"/>
    <s v="Monthly"/>
    <s v="Cash"/>
    <s v="Normal"/>
    <x v="1"/>
    <d v="2025-09-05T00:00:00"/>
    <x v="1"/>
  </r>
  <r>
    <s v="M069"/>
    <s v="Kunal Debbarma"/>
    <n v="1000"/>
    <s v="Monthly"/>
    <s v="Cash"/>
    <s v="Normal"/>
    <x v="5"/>
    <d v="2025-07-07T00:00:00"/>
    <x v="2"/>
  </r>
  <r>
    <s v="M070"/>
    <s v="Kunal Saha"/>
    <n v="3000"/>
    <s v="3 Months"/>
    <s v="Cash"/>
    <s v="PT"/>
    <x v="0"/>
    <d v="2025-10-06T00:00:00"/>
    <x v="1"/>
  </r>
  <r>
    <s v="M070"/>
    <s v="Kunal Saha"/>
    <n v="3000"/>
    <s v="3 Months"/>
    <s v="Cash"/>
    <s v="PT"/>
    <x v="1"/>
    <d v="2025-11-06T00:00:00"/>
    <x v="1"/>
  </r>
  <r>
    <s v="M070"/>
    <s v="Kunal Saha"/>
    <n v="2000"/>
    <s v="Monthly"/>
    <s v="Google Pay"/>
    <s v="Normal"/>
    <x v="3"/>
    <d v="2025-05-10T00:00:00"/>
    <x v="2"/>
  </r>
  <r>
    <s v="M070"/>
    <s v="Kunal Saha"/>
    <n v="1000"/>
    <s v="Monthly"/>
    <s v="Google Pay"/>
    <s v="Normal"/>
    <x v="4"/>
    <d v="2025-06-21T00:00:00"/>
    <x v="2"/>
  </r>
  <r>
    <s v="M070"/>
    <s v="Kunal Saha"/>
    <n v="1000"/>
    <s v="Monthly"/>
    <s v="Google Pay"/>
    <s v="Normal"/>
    <x v="5"/>
    <d v="2025-07-23T00:00:00"/>
    <x v="2"/>
  </r>
  <r>
    <s v="M071"/>
    <s v="Kushal Banik"/>
    <n v="1000"/>
    <s v="Monthly"/>
    <s v="Cash"/>
    <s v="Normal"/>
    <x v="4"/>
    <d v="2025-06-05T00:00:00"/>
    <x v="2"/>
  </r>
  <r>
    <s v="M071"/>
    <s v="Kushal Banik"/>
    <n v="1000"/>
    <s v="Monthly"/>
    <s v="Google Pay"/>
    <s v="Normal"/>
    <x v="5"/>
    <d v="2025-07-06T00:00:00"/>
    <x v="2"/>
  </r>
  <r>
    <s v="M071"/>
    <s v="Kushal Banik"/>
    <n v="1000"/>
    <s v="Monthly"/>
    <s v="Cash"/>
    <s v="Normal"/>
    <x v="0"/>
    <d v="2025-08-03T00:00:00"/>
    <x v="0"/>
  </r>
  <r>
    <s v="M071"/>
    <s v="Kushal Banik"/>
    <n v="2000"/>
    <s v="Monthly"/>
    <s v="Google Pay"/>
    <s v="PT"/>
    <x v="4"/>
    <d v="2025-06-16T00:00:00"/>
    <x v="2"/>
  </r>
  <r>
    <s v="M071"/>
    <s v="Kushal Banik"/>
    <n v="1000"/>
    <s v="Monthly"/>
    <s v="Google Pay"/>
    <s v="Normal"/>
    <x v="1"/>
    <d v="2025-09-11T00:00:00"/>
    <x v="1"/>
  </r>
  <r>
    <s v="M072"/>
    <s v="Litan Miah"/>
    <n v="1000"/>
    <s v="Monthly"/>
    <s v="Google Pay"/>
    <s v="Normal"/>
    <x v="0"/>
    <d v="2025-08-03T00:00:00"/>
    <x v="0"/>
  </r>
  <r>
    <s v="M072"/>
    <s v="Litan Miah"/>
    <n v="1000"/>
    <s v="Monthly"/>
    <s v="Google Pay"/>
    <s v="Normal"/>
    <x v="2"/>
    <d v="2025-04-08T00:00:00"/>
    <x v="2"/>
  </r>
  <r>
    <s v="M072"/>
    <s v="Litan Miah"/>
    <n v="1000"/>
    <s v="Monthly"/>
    <s v="Cash"/>
    <s v="Normal"/>
    <x v="5"/>
    <d v="2025-07-12T00:00:00"/>
    <x v="2"/>
  </r>
  <r>
    <s v="M072"/>
    <s v="Litan Miah"/>
    <n v="1000"/>
    <s v="Monthly"/>
    <s v="Cash"/>
    <s v="Normal"/>
    <x v="3"/>
    <d v="2025-05-18T00:00:00"/>
    <x v="2"/>
  </r>
  <r>
    <s v="M072"/>
    <s v="Litan Miah"/>
    <n v="1000"/>
    <s v="Monthly"/>
    <s v="Cash"/>
    <s v="Normal"/>
    <x v="0"/>
    <d v="2025-08-27T00:00:00"/>
    <x v="0"/>
  </r>
  <r>
    <s v="M073"/>
    <s v="Maitri Singha"/>
    <n v="1000"/>
    <s v="Monthly"/>
    <s v="Cash"/>
    <s v="Normal"/>
    <x v="1"/>
    <d v="2025-09-04T00:00:00"/>
    <x v="1"/>
  </r>
  <r>
    <s v="M074"/>
    <s v="Manajit Singha"/>
    <n v="1000"/>
    <s v="Monthly"/>
    <s v="Google Pay"/>
    <s v="Normal"/>
    <x v="5"/>
    <d v="2025-07-13T00:00:00"/>
    <x v="2"/>
  </r>
  <r>
    <s v="M075"/>
    <s v="Manak Choudhry"/>
    <n v="7200"/>
    <s v="Yearly"/>
    <s v="Google Pay"/>
    <s v="Normal"/>
    <x v="3"/>
    <d v="2026-04-14T00:00:00"/>
    <x v="1"/>
  </r>
  <r>
    <s v="M076"/>
    <s v="Mani Roy"/>
    <n v="3000"/>
    <s v="3 Months"/>
    <s v="Cash"/>
    <s v="PT"/>
    <x v="5"/>
    <d v="2025-09-02T00:00:00"/>
    <x v="1"/>
  </r>
  <r>
    <s v="M076"/>
    <s v="Mani Roy"/>
    <n v="3000"/>
    <s v="3 Months"/>
    <s v="Cash"/>
    <s v="PT"/>
    <x v="3"/>
    <d v="2025-07-06T00:00:00"/>
    <x v="2"/>
  </r>
  <r>
    <s v="M076"/>
    <s v="Mani Roy"/>
    <n v="3000"/>
    <s v="3 Months"/>
    <s v="Cash"/>
    <s v="PT"/>
    <x v="2"/>
    <d v="2025-06-05T00:00:00"/>
    <x v="2"/>
  </r>
  <r>
    <s v="M076"/>
    <s v="Mani Roy"/>
    <n v="3000"/>
    <s v="3 Months"/>
    <s v="Cash"/>
    <s v="PT"/>
    <x v="0"/>
    <d v="2025-10-05T00:00:00"/>
    <x v="1"/>
  </r>
  <r>
    <s v="M076"/>
    <s v="Mani Roy"/>
    <n v="3000"/>
    <s v="3 Months"/>
    <s v="Cash"/>
    <s v="PT"/>
    <x v="1"/>
    <d v="2025-11-10T00:00:00"/>
    <x v="1"/>
  </r>
  <r>
    <s v="M077"/>
    <s v="Mani Roy "/>
    <n v="3000"/>
    <s v="3 Months"/>
    <s v="Cash"/>
    <s v="PT"/>
    <x v="4"/>
    <d v="2025-08-07T00:00:00"/>
    <x v="0"/>
  </r>
  <r>
    <s v="M078"/>
    <s v="Md. Imran"/>
    <n v="1500"/>
    <s v="Monthly"/>
    <s v="Cash"/>
    <s v="Normal"/>
    <x v="0"/>
    <d v="2025-08-08T00:00:00"/>
    <x v="0"/>
  </r>
  <r>
    <s v="M079"/>
    <s v="Mina Dhar"/>
    <n v="3000"/>
    <s v="3 Months"/>
    <s v="Cash"/>
    <s v="PT"/>
    <x v="5"/>
    <d v="2025-09-08T00:00:00"/>
    <x v="1"/>
  </r>
  <r>
    <s v="M079"/>
    <s v="Mina Dhar"/>
    <n v="3000"/>
    <s v="3 Months"/>
    <s v="Cash"/>
    <s v="PT"/>
    <x v="1"/>
    <d v="2025-11-17T00:00:00"/>
    <x v="1"/>
  </r>
  <r>
    <s v="M080"/>
    <s v="Minal Debbarma"/>
    <n v="1000"/>
    <s v="Monthly"/>
    <s v="Cash"/>
    <s v="Normal"/>
    <x v="5"/>
    <d v="2025-07-03T00:00:00"/>
    <x v="2"/>
  </r>
  <r>
    <s v="M080"/>
    <s v="Minal Debbarma"/>
    <n v="1000"/>
    <s v="Monthly"/>
    <s v="Cash"/>
    <s v="Normal"/>
    <x v="0"/>
    <d v="2025-07-31T00:00:00"/>
    <x v="2"/>
  </r>
  <r>
    <s v="M080"/>
    <s v="Minal Debbarma"/>
    <n v="1000"/>
    <s v="Monthly"/>
    <s v="Cash"/>
    <s v="Normal"/>
    <x v="4"/>
    <d v="2025-06-04T00:00:00"/>
    <x v="2"/>
  </r>
  <r>
    <s v="M080"/>
    <s v="Minal Debbarma"/>
    <n v="1000"/>
    <s v="Monthly"/>
    <s v="Cash"/>
    <s v="Normal"/>
    <x v="2"/>
    <d v="2025-04-03T00:00:00"/>
    <x v="2"/>
  </r>
  <r>
    <s v="M080"/>
    <s v="Minal Debbarma"/>
    <n v="1000"/>
    <s v="Monthly"/>
    <s v="Google Pay"/>
    <s v="Normal"/>
    <x v="1"/>
    <d v="2025-09-04T00:00:00"/>
    <x v="1"/>
  </r>
  <r>
    <s v="M080"/>
    <s v="Minal Debbarma"/>
    <n v="1000"/>
    <s v="Monthly"/>
    <s v="Cash"/>
    <s v="Normal"/>
    <x v="3"/>
    <d v="2025-05-04T00:00:00"/>
    <x v="2"/>
  </r>
  <r>
    <s v="M080"/>
    <s v="Minal Debbarma"/>
    <n v="1000"/>
    <s v="Monthly"/>
    <s v="Cash"/>
    <s v="Normal"/>
    <x v="5"/>
    <d v="2025-07-12T00:00:00"/>
    <x v="2"/>
  </r>
  <r>
    <s v="M081"/>
    <s v="Mithun Saha"/>
    <n v="2000"/>
    <s v="Monthly"/>
    <s v="Cash"/>
    <s v="Normal"/>
    <x v="4"/>
    <d v="2025-06-05T00:00:00"/>
    <x v="2"/>
  </r>
  <r>
    <s v="M081"/>
    <s v="Mithun Saha"/>
    <n v="2000"/>
    <s v="Monthly"/>
    <s v="Google Pay"/>
    <s v="PT"/>
    <x v="5"/>
    <d v="2025-07-04T00:00:00"/>
    <x v="2"/>
  </r>
  <r>
    <s v="M081"/>
    <s v="Mithun Saha"/>
    <n v="2000"/>
    <s v="Monthly"/>
    <s v="Google Pay"/>
    <s v="Normal"/>
    <x v="1"/>
    <d v="2025-09-05T00:00:00"/>
    <x v="1"/>
  </r>
  <r>
    <s v="M081"/>
    <s v="Mithun Saha"/>
    <n v="2000"/>
    <s v="Monthly"/>
    <s v="Google Pay"/>
    <s v="PT"/>
    <x v="0"/>
    <d v="2025-08-04T00:00:00"/>
    <x v="0"/>
  </r>
  <r>
    <s v="M081"/>
    <s v="Mithun Saha"/>
    <n v="1800"/>
    <s v="Monthly"/>
    <s v="Cash"/>
    <s v="Normal"/>
    <x v="3"/>
    <d v="2025-05-19T00:00:00"/>
    <x v="2"/>
  </r>
  <r>
    <s v="M082"/>
    <s v="Mridul Saha"/>
    <n v="500"/>
    <s v="Monthly"/>
    <s v="Google Pay"/>
    <s v="Normal"/>
    <x v="5"/>
    <d v="2025-07-19T00:00:00"/>
    <x v="2"/>
  </r>
  <r>
    <s v="M083"/>
    <s v="Nabajit Roy"/>
    <n v="800"/>
    <s v="Monthly"/>
    <s v="Google Pay"/>
    <s v="Normal"/>
    <x v="2"/>
    <d v="2025-04-15T00:00:00"/>
    <x v="2"/>
  </r>
  <r>
    <s v="M083"/>
    <s v="Nabajit Roy"/>
    <n v="800"/>
    <s v="Monthly"/>
    <s v="Google Pay"/>
    <s v="Normal"/>
    <x v="3"/>
    <d v="2025-05-14T00:00:00"/>
    <x v="2"/>
  </r>
  <r>
    <s v="M084"/>
    <s v="Nabajit Saha"/>
    <n v="1000"/>
    <s v="Monthly"/>
    <s v="Google Pay"/>
    <s v="Normal"/>
    <x v="1"/>
    <d v="2025-09-04T00:00:00"/>
    <x v="1"/>
  </r>
  <r>
    <s v="M084"/>
    <s v="Nabajit Saha"/>
    <n v="1000"/>
    <s v="Monthly"/>
    <s v="Google Pay"/>
    <s v="Normal"/>
    <x v="2"/>
    <d v="2025-04-04T00:00:00"/>
    <x v="2"/>
  </r>
  <r>
    <s v="M084"/>
    <s v="Nabajit Saha"/>
    <n v="1000"/>
    <s v="Monthly"/>
    <s v="Google Pay"/>
    <s v="Normal"/>
    <x v="0"/>
    <d v="2025-08-07T00:00:00"/>
    <x v="0"/>
  </r>
  <r>
    <s v="M084"/>
    <s v="Nabajit Saha"/>
    <n v="1000"/>
    <s v="Monthly"/>
    <s v="Google Pay"/>
    <s v="Normal"/>
    <x v="3"/>
    <d v="2025-05-10T00:00:00"/>
    <x v="2"/>
  </r>
  <r>
    <s v="M085"/>
    <s v="Nabajit Saha Sarkar"/>
    <n v="1000"/>
    <s v="Monthly"/>
    <s v="Google Pay"/>
    <s v="Normal"/>
    <x v="4"/>
    <d v="2025-06-22T00:00:00"/>
    <x v="2"/>
  </r>
  <r>
    <s v="M086"/>
    <s v="Nandan Ghosh"/>
    <n v="1000"/>
    <s v="Monthly"/>
    <s v="Google Pay"/>
    <s v="Normal"/>
    <x v="5"/>
    <d v="2025-07-04T00:00:00"/>
    <x v="2"/>
  </r>
  <r>
    <s v="M086"/>
    <s v="Nandan Ghosh"/>
    <n v="1000"/>
    <s v="Monthly"/>
    <s v="Google Pay"/>
    <s v="Normal"/>
    <x v="1"/>
    <d v="2025-09-13T00:00:00"/>
    <x v="1"/>
  </r>
  <r>
    <s v="M086"/>
    <s v="Nandan Ghosh"/>
    <n v="1000"/>
    <s v="Monthly"/>
    <s v="Google Pay"/>
    <s v="Normal"/>
    <x v="2"/>
    <d v="2025-04-27T00:00:00"/>
    <x v="2"/>
  </r>
  <r>
    <s v="M087"/>
    <s v="Nishan Debbarma"/>
    <n v="1000"/>
    <s v="Monthly"/>
    <s v="Cash"/>
    <s v="Normal"/>
    <x v="1"/>
    <d v="2025-09-05T00:00:00"/>
    <x v="1"/>
  </r>
  <r>
    <s v="M088"/>
    <s v="Panomartha Ghosh"/>
    <n v="1000"/>
    <s v="Monthly"/>
    <s v="Cash"/>
    <s v="Normal"/>
    <x v="5"/>
    <d v="2025-07-04T00:00:00"/>
    <x v="2"/>
  </r>
  <r>
    <s v="M089"/>
    <s v="Papya Bhowmik"/>
    <n v="1000"/>
    <s v="Monthly"/>
    <s v="Google Pay"/>
    <s v="Normal"/>
    <x v="5"/>
    <d v="2025-07-13T00:00:00"/>
    <x v="2"/>
  </r>
  <r>
    <s v="M090"/>
    <s v="Papya Ghosh"/>
    <n v="1000"/>
    <s v="Monthly"/>
    <s v="Google Pay"/>
    <s v="Normal"/>
    <x v="5"/>
    <d v="2025-07-13T00:00:00"/>
    <x v="2"/>
  </r>
  <r>
    <s v="M091"/>
    <s v="Paromartha Ghosh"/>
    <n v="1000"/>
    <s v="Monthly"/>
    <s v="Google Pay"/>
    <s v="Normal"/>
    <x v="0"/>
    <d v="2025-08-04T00:00:00"/>
    <x v="0"/>
  </r>
  <r>
    <s v="M091"/>
    <s v="Paromartha Ghosh"/>
    <n v="1000"/>
    <s v="Monthly"/>
    <s v="Cash"/>
    <s v="Normal"/>
    <x v="0"/>
    <d v="2025-08-30T00:00:00"/>
    <x v="0"/>
  </r>
  <r>
    <s v="M092"/>
    <s v="Payel Bhowmik"/>
    <n v="1000"/>
    <s v="Monthly"/>
    <s v="Google Pay"/>
    <s v="Normal"/>
    <x v="4"/>
    <d v="2025-06-11T00:00:00"/>
    <x v="2"/>
  </r>
  <r>
    <s v="M093"/>
    <s v="Pradip Das"/>
    <n v="1000"/>
    <s v="Monthly"/>
    <s v="Google Pay"/>
    <s v="Normal"/>
    <x v="2"/>
    <d v="2025-04-04T00:00:00"/>
    <x v="2"/>
  </r>
  <r>
    <s v="M093"/>
    <s v="Pradip Das"/>
    <n v="1000"/>
    <s v="Monthly"/>
    <s v="Google Pay"/>
    <s v="Normal"/>
    <x v="3"/>
    <d v="2025-05-14T00:00:00"/>
    <x v="2"/>
  </r>
  <r>
    <s v="M094"/>
    <s v="Pradip Majumder"/>
    <n v="2400"/>
    <s v="3 Months"/>
    <s v="Google Pay"/>
    <s v="Normal"/>
    <x v="2"/>
    <d v="2025-06-03T00:00:00"/>
    <x v="2"/>
  </r>
  <r>
    <s v="M094"/>
    <s v="Pradip Majumder"/>
    <n v="2400"/>
    <s v="3 Months"/>
    <s v="Google Pay"/>
    <s v="Normal"/>
    <x v="5"/>
    <d v="2025-09-07T00:00:00"/>
    <x v="1"/>
  </r>
  <r>
    <s v="M095"/>
    <s v="Prasenjit Roy Chowdhury"/>
    <n v="1000"/>
    <s v="Monthly"/>
    <s v="Google Pay"/>
    <s v="Normal"/>
    <x v="0"/>
    <d v="2025-08-06T00:00:00"/>
    <x v="0"/>
  </r>
  <r>
    <s v="M096"/>
    <s v="Prasenjit Sarkar"/>
    <n v="4800"/>
    <s v="6 Months"/>
    <s v="Google Pay"/>
    <s v="Normal"/>
    <x v="2"/>
    <d v="2025-08-31T00:00:00"/>
    <x v="1"/>
  </r>
  <r>
    <s v="M097"/>
    <s v="Prayesh Das"/>
    <n v="1000"/>
    <s v="Monthly"/>
    <s v="Google Pay"/>
    <s v="Normal"/>
    <x v="3"/>
    <d v="2025-05-28T00:00:00"/>
    <x v="2"/>
  </r>
  <r>
    <s v="M098"/>
    <s v="Prerna Biswas"/>
    <n v="3000"/>
    <s v="3 Months"/>
    <s v="Cash"/>
    <s v="PT"/>
    <x v="0"/>
    <d v="2025-10-06T00:00:00"/>
    <x v="1"/>
  </r>
  <r>
    <s v="M098"/>
    <s v="Prerna Biswas"/>
    <n v="1000"/>
    <s v="Monthly"/>
    <s v="Cash"/>
    <s v="Normal"/>
    <x v="1"/>
    <d v="2025-09-13T00:00:00"/>
    <x v="1"/>
  </r>
  <r>
    <s v="M099"/>
    <s v="Pritha Saha"/>
    <n v="1000"/>
    <s v="Monthly"/>
    <s v="Cash"/>
    <s v="Normal"/>
    <x v="0"/>
    <d v="2025-08-20T00:00:00"/>
    <x v="0"/>
  </r>
  <r>
    <s v="M100"/>
    <s v="Prithwi Das"/>
    <n v="1000"/>
    <s v="Monthly"/>
    <s v="Cash"/>
    <s v="Normal"/>
    <x v="2"/>
    <d v="2025-04-17T00:00:00"/>
    <x v="2"/>
  </r>
  <r>
    <s v="M100"/>
    <s v="Prithwi Das"/>
    <n v="1000"/>
    <s v="Monthly"/>
    <s v="Cash"/>
    <s v="Normal"/>
    <x v="4"/>
    <d v="2025-06-21T00:00:00"/>
    <x v="2"/>
  </r>
  <r>
    <s v="M100"/>
    <s v="Prithwi Das"/>
    <n v="4200"/>
    <s v="3 Months"/>
    <s v="Cash"/>
    <s v="Normal"/>
    <x v="5"/>
    <d v="2025-09-19T00:00:00"/>
    <x v="1"/>
  </r>
  <r>
    <s v="M101"/>
    <s v="Priti Deb"/>
    <n v="1000"/>
    <s v="Monthly"/>
    <s v="Cash"/>
    <s v="Normal"/>
    <x v="5"/>
    <d v="2025-07-07T00:00:00"/>
    <x v="2"/>
  </r>
  <r>
    <s v="M101"/>
    <s v="Priti Deb"/>
    <n v="1000"/>
    <s v="Monthly"/>
    <s v="Google Pay"/>
    <s v="Normal"/>
    <x v="0"/>
    <d v="2025-08-13T00:00:00"/>
    <x v="0"/>
  </r>
  <r>
    <s v="M102"/>
    <s v="Priyam Saha"/>
    <n v="600"/>
    <s v="Monthly"/>
    <s v="Cash"/>
    <s v="Normal"/>
    <x v="3"/>
    <d v="2025-05-10T00:00:00"/>
    <x v="2"/>
  </r>
  <r>
    <s v="M102"/>
    <s v="Priyam Saha"/>
    <n v="1000"/>
    <s v="Monthly"/>
    <s v="Cash"/>
    <s v="Normal"/>
    <x v="0"/>
    <d v="2025-08-09T00:00:00"/>
    <x v="0"/>
  </r>
  <r>
    <s v="M102"/>
    <s v="Priyam Saha"/>
    <n v="600"/>
    <s v="Monthly"/>
    <s v="Cash"/>
    <s v="Normal"/>
    <x v="0"/>
    <d v="2025-08-28T00:00:00"/>
    <x v="0"/>
  </r>
  <r>
    <s v="M103"/>
    <s v="Priyanka Sen"/>
    <n v="1000"/>
    <s v="Monthly"/>
    <s v="Cash"/>
    <s v="Normal"/>
    <x v="3"/>
    <d v="2025-05-06T00:00:00"/>
    <x v="2"/>
  </r>
  <r>
    <s v="M104"/>
    <s v="Priyanka Sharma"/>
    <n v="1000"/>
    <s v="Monthly"/>
    <s v="Google Pay"/>
    <s v="Normal"/>
    <x v="1"/>
    <d v="2025-09-05T00:00:00"/>
    <x v="1"/>
  </r>
  <r>
    <s v="M105"/>
    <s v="Rahul Choudhury"/>
    <n v="4500"/>
    <s v="3 Months"/>
    <s v="Cash"/>
    <s v="PT"/>
    <x v="2"/>
    <d v="2025-06-04T00:00:00"/>
    <x v="2"/>
  </r>
  <r>
    <s v="M106"/>
    <s v="Rahul Majumder"/>
    <n v="1000"/>
    <s v="Monthly"/>
    <s v="Cash"/>
    <s v="Normal"/>
    <x v="5"/>
    <d v="2025-07-11T00:00:00"/>
    <x v="2"/>
  </r>
  <r>
    <s v="M106"/>
    <s v="Rahul Majumder"/>
    <n v="1000"/>
    <s v="Monthly"/>
    <s v="Cash"/>
    <s v="Normal"/>
    <x v="0"/>
    <d v="2025-08-11T00:00:00"/>
    <x v="0"/>
  </r>
  <r>
    <s v="M107"/>
    <s v="Rajat Karmakar"/>
    <n v="4000"/>
    <s v="3 Months"/>
    <s v="Google Pay"/>
    <s v="Normal"/>
    <x v="2"/>
    <d v="2025-06-23T00:00:00"/>
    <x v="2"/>
  </r>
  <r>
    <s v="M108"/>
    <s v="Rajat Saha"/>
    <n v="1000"/>
    <s v="Monthly"/>
    <s v="Google Pay"/>
    <s v="Normal"/>
    <x v="2"/>
    <d v="2025-04-03T00:00:00"/>
    <x v="2"/>
  </r>
  <r>
    <s v="M108"/>
    <s v="Rajat Saha"/>
    <n v="1000"/>
    <s v="Monthly"/>
    <s v="Google Pay"/>
    <s v="Normal"/>
    <x v="3"/>
    <d v="2025-05-05T00:00:00"/>
    <x v="2"/>
  </r>
  <r>
    <s v="M108"/>
    <s v="Rajat Saha"/>
    <n v="1000"/>
    <s v="Monthly"/>
    <s v="Google Pay"/>
    <s v="Normal"/>
    <x v="5"/>
    <d v="2025-07-04T00:00:00"/>
    <x v="2"/>
  </r>
  <r>
    <s v="M108"/>
    <s v="Rajat Saha"/>
    <n v="1000"/>
    <s v="Monthly"/>
    <s v="Google Pay"/>
    <s v="Normal"/>
    <x v="4"/>
    <d v="2025-06-06T00:00:00"/>
    <x v="2"/>
  </r>
  <r>
    <s v="M108"/>
    <s v="Rajat Saha"/>
    <n v="1000"/>
    <s v="Monthly"/>
    <s v="Cash"/>
    <s v="Normal"/>
    <x v="0"/>
    <d v="2025-08-03T00:00:00"/>
    <x v="0"/>
  </r>
  <r>
    <s v="M109"/>
    <s v="Rajdeep Majumder"/>
    <n v="800"/>
    <s v="Monthly"/>
    <s v="Cash"/>
    <s v="Normal"/>
    <x v="5"/>
    <d v="2025-07-24T00:00:00"/>
    <x v="2"/>
  </r>
  <r>
    <s v="M110"/>
    <s v="Rajkumar Subhajit Singha"/>
    <n v="2000"/>
    <s v="Monthly"/>
    <s v="Google Pay"/>
    <s v="PT"/>
    <x v="1"/>
    <d v="2025-09-04T00:00:00"/>
    <x v="1"/>
  </r>
  <r>
    <s v="M111"/>
    <s v="Rakhi Dhar"/>
    <n v="800"/>
    <s v="Monthly"/>
    <s v="Cash"/>
    <s v="Normal"/>
    <x v="4"/>
    <d v="2025-06-06T00:00:00"/>
    <x v="2"/>
  </r>
  <r>
    <s v="M111"/>
    <s v="Rakhi Dhar"/>
    <n v="800"/>
    <s v="Monthly"/>
    <s v="Cash"/>
    <s v="Normal"/>
    <x v="0"/>
    <d v="2025-08-10T00:00:00"/>
    <x v="0"/>
  </r>
  <r>
    <s v="M111"/>
    <s v="Rakhi Dhar"/>
    <n v="800"/>
    <s v="Monthly"/>
    <s v="Cash"/>
    <s v="Normal"/>
    <x v="3"/>
    <d v="2025-05-11T00:00:00"/>
    <x v="2"/>
  </r>
  <r>
    <s v="M111"/>
    <s v="Rakhi Dhar"/>
    <n v="800"/>
    <s v="Monthly"/>
    <s v="Cash"/>
    <s v="Normal"/>
    <x v="2"/>
    <d v="2025-04-21T00:00:00"/>
    <x v="2"/>
  </r>
  <r>
    <s v="M112"/>
    <s v="Ranik Singha"/>
    <n v="1000"/>
    <s v="Monthly"/>
    <s v="Cash"/>
    <s v="Normal"/>
    <x v="4"/>
    <d v="2025-06-05T00:00:00"/>
    <x v="2"/>
  </r>
  <r>
    <s v="M112"/>
    <s v="Ranik Singha"/>
    <n v="1000"/>
    <s v="Monthly"/>
    <s v="Cash"/>
    <s v="Normal"/>
    <x v="2"/>
    <d v="2025-04-04T00:00:00"/>
    <x v="2"/>
  </r>
  <r>
    <s v="M112"/>
    <s v="Ranik Singha"/>
    <n v="1000"/>
    <s v="Monthly"/>
    <s v="Cash"/>
    <s v="Normal"/>
    <x v="5"/>
    <d v="2025-07-09T00:00:00"/>
    <x v="2"/>
  </r>
  <r>
    <s v="M112"/>
    <s v="Ranik Singha"/>
    <n v="1000"/>
    <s v="Monthly"/>
    <s v="Cash"/>
    <s v="Normal"/>
    <x v="1"/>
    <d v="2025-09-13T00:00:00"/>
    <x v="1"/>
  </r>
  <r>
    <s v="M113"/>
    <s v="Rashmi Saha"/>
    <n v="500"/>
    <s v="Monthly"/>
    <s v="Google Pay"/>
    <s v="Normal"/>
    <x v="1"/>
    <d v="2025-09-04T00:00:00"/>
    <x v="1"/>
  </r>
  <r>
    <s v="M114"/>
    <s v="Ratnadeep Paul"/>
    <n v="2400"/>
    <s v="3 Months"/>
    <s v="Google Pay"/>
    <s v="Normal"/>
    <x v="3"/>
    <d v="2025-07-10T00:00:00"/>
    <x v="2"/>
  </r>
  <r>
    <s v="M115"/>
    <s v="Ratnajit Das"/>
    <n v="2000"/>
    <s v="Monthly"/>
    <s v="Google Pay"/>
    <s v="Normal"/>
    <x v="4"/>
    <d v="2025-06-11T00:00:00"/>
    <x v="2"/>
  </r>
  <r>
    <s v="M115"/>
    <s v="Ratnajit Das"/>
    <n v="1000"/>
    <s v="Monthly"/>
    <s v="Google Pay"/>
    <s v="Normal"/>
    <x v="2"/>
    <d v="2025-04-20T00:00:00"/>
    <x v="2"/>
  </r>
  <r>
    <s v="M116"/>
    <s v="Reshmi Debnath"/>
    <n v="1000"/>
    <s v="Monthly"/>
    <s v="Cash"/>
    <s v="Normal"/>
    <x v="3"/>
    <d v="2025-05-14T00:00:00"/>
    <x v="2"/>
  </r>
  <r>
    <s v="M117"/>
    <s v="Ripan Das"/>
    <n v="1000"/>
    <s v="Monthly"/>
    <s v="Google Pay"/>
    <s v="Normal"/>
    <x v="2"/>
    <d v="2025-03-31T00:00:00"/>
    <x v="2"/>
  </r>
  <r>
    <s v="M117"/>
    <s v="Ripan Das"/>
    <n v="1000"/>
    <s v="Monthly"/>
    <s v="Google Pay"/>
    <s v="Normal"/>
    <x v="4"/>
    <d v="2025-06-12T00:00:00"/>
    <x v="2"/>
  </r>
  <r>
    <s v="M117"/>
    <s v="Ripan Das"/>
    <n v="1000"/>
    <s v="Monthly"/>
    <s v="Google Pay"/>
    <s v="Normal"/>
    <x v="0"/>
    <d v="2025-08-08T00:00:00"/>
    <x v="0"/>
  </r>
  <r>
    <s v="M117"/>
    <s v="Ripan Das"/>
    <n v="1000"/>
    <s v="Monthly"/>
    <s v="Cash"/>
    <s v="Normal"/>
    <x v="1"/>
    <d v="2025-09-17T00:00:00"/>
    <x v="1"/>
  </r>
  <r>
    <s v="M117"/>
    <s v="Ripan Das"/>
    <n v="1000"/>
    <s v="Monthly"/>
    <s v="Cash"/>
    <s v="Normal"/>
    <x v="3"/>
    <d v="2025-05-01T00:00:00"/>
    <x v="2"/>
  </r>
  <r>
    <s v="M117"/>
    <s v="Ripan Das"/>
    <n v="1000"/>
    <s v="Monthly"/>
    <s v="Cash"/>
    <s v="Normal"/>
    <x v="5"/>
    <d v="2025-07-23T00:00:00"/>
    <x v="2"/>
  </r>
  <r>
    <s v="M118"/>
    <s v="Romeo Singha"/>
    <n v="2400"/>
    <s v="3 Months"/>
    <s v="Google Pay"/>
    <s v="Normal"/>
    <x v="0"/>
    <d v="2025-10-19T00:00:00"/>
    <x v="1"/>
  </r>
  <r>
    <s v="M119"/>
    <s v="Rose Pinera"/>
    <n v="1000"/>
    <s v="Monthly"/>
    <s v="Cash"/>
    <s v="Normal"/>
    <x v="1"/>
    <d v="2025-09-11T00:00:00"/>
    <x v="1"/>
  </r>
  <r>
    <s v="M120"/>
    <s v="Rupali Bhattacharjee"/>
    <n v="1000"/>
    <s v="Monthly"/>
    <s v="Google Pay"/>
    <s v="Normal"/>
    <x v="4"/>
    <d v="2025-06-25T00:00:00"/>
    <x v="2"/>
  </r>
  <r>
    <s v="M121"/>
    <s v="S.S. Rama"/>
    <n v="700"/>
    <s v="Monthly"/>
    <s v="Cash"/>
    <s v="Normal"/>
    <x v="4"/>
    <d v="2025-06-27T00:00:00"/>
    <x v="2"/>
  </r>
  <r>
    <s v="M121"/>
    <s v="S.S. Rama"/>
    <n v="700"/>
    <s v="Monthly"/>
    <s v="Cash"/>
    <s v="Normal"/>
    <x v="3"/>
    <d v="2025-05-21T00:00:00"/>
    <x v="2"/>
  </r>
  <r>
    <s v="M122"/>
    <s v="Sagar Das"/>
    <n v="1000"/>
    <s v="Monthly"/>
    <s v="Cash"/>
    <s v="Normal"/>
    <x v="1"/>
    <d v="2025-09-03T00:00:00"/>
    <x v="1"/>
  </r>
  <r>
    <s v="M123"/>
    <s v="Sagarika Banik "/>
    <n v="2000"/>
    <s v="Monthly"/>
    <s v="Cash"/>
    <s v="PT"/>
    <x v="5"/>
    <d v="2025-07-25T00:00:00"/>
    <x v="2"/>
  </r>
  <r>
    <s v="M124"/>
    <s v="Sagarika Das"/>
    <n v="4000"/>
    <s v="3 Months"/>
    <s v="Google Pay"/>
    <s v="Normal"/>
    <x v="2"/>
    <d v="2025-06-11T00:00:00"/>
    <x v="2"/>
  </r>
  <r>
    <s v="M125"/>
    <s v="Sahil Singh"/>
    <n v="1000"/>
    <s v="Monthly"/>
    <s v="Google Pay"/>
    <s v="Normal"/>
    <x v="1"/>
    <d v="2025-08-31T00:00:00"/>
    <x v="1"/>
  </r>
  <r>
    <s v="M125"/>
    <s v="Sahil Singh"/>
    <n v="1000"/>
    <s v="Monthly"/>
    <s v="Google Pay"/>
    <s v="Normal"/>
    <x v="2"/>
    <d v="2025-04-09T00:00:00"/>
    <x v="2"/>
  </r>
  <r>
    <s v="M126"/>
    <s v="Saikat Saha"/>
    <n v="1000"/>
    <s v="Monthly"/>
    <s v="Google Pay"/>
    <s v="Normal"/>
    <x v="2"/>
    <d v="2025-04-18T00:00:00"/>
    <x v="2"/>
  </r>
  <r>
    <s v="M126"/>
    <s v="Saikat Saha"/>
    <n v="2400"/>
    <s v="3 Months"/>
    <s v="Cash"/>
    <s v="Normal"/>
    <x v="3"/>
    <d v="2025-07-20T00:00:00"/>
    <x v="2"/>
  </r>
  <r>
    <s v="M126"/>
    <s v="Saikat Saha"/>
    <n v="1000"/>
    <s v="Monthly"/>
    <s v="Cash"/>
    <s v="Normal"/>
    <x v="0"/>
    <d v="2025-08-28T00:00:00"/>
    <x v="0"/>
  </r>
  <r>
    <s v="M127"/>
    <s v="Sampa Majumder"/>
    <n v="1000"/>
    <s v="Monthly"/>
    <s v="Google Pay"/>
    <s v="Normal"/>
    <x v="2"/>
    <d v="2025-04-09T00:00:00"/>
    <x v="2"/>
  </r>
  <r>
    <s v="M127"/>
    <s v="Sampa Majumder"/>
    <n v="1000"/>
    <s v="Monthly"/>
    <s v="Cash"/>
    <s v="Normal"/>
    <x v="3"/>
    <d v="2025-05-19T00:00:00"/>
    <x v="2"/>
  </r>
  <r>
    <s v="M128"/>
    <s v="Samrat Kumar Sinha"/>
    <n v="1000"/>
    <s v="Monthly"/>
    <s v="Google Pay"/>
    <s v="Normal"/>
    <x v="4"/>
    <d v="2025-06-07T00:00:00"/>
    <x v="2"/>
  </r>
  <r>
    <s v="M129"/>
    <s v="Sani Debnath"/>
    <n v="1000"/>
    <s v="Monthly"/>
    <s v="Google Pay"/>
    <s v="Normal"/>
    <x v="0"/>
    <d v="2025-07-31T00:00:00"/>
    <x v="2"/>
  </r>
  <r>
    <s v="M129"/>
    <s v="Sani Debnath"/>
    <n v="1000"/>
    <s v="Monthly"/>
    <s v="Google Pay"/>
    <s v="Normal"/>
    <x v="3"/>
    <d v="2025-05-12T00:00:00"/>
    <x v="2"/>
  </r>
  <r>
    <s v="M129"/>
    <s v="Sani Debnath"/>
    <n v="1000"/>
    <s v="Monthly"/>
    <s v="Google Pay"/>
    <s v="Normal"/>
    <x v="2"/>
    <d v="2025-04-09T00:00:00"/>
    <x v="2"/>
  </r>
  <r>
    <s v="M129"/>
    <s v="Sani Debnath"/>
    <n v="1000"/>
    <s v="Monthly"/>
    <s v="Google Pay"/>
    <s v="Normal"/>
    <x v="4"/>
    <d v="2025-06-13T00:00:00"/>
    <x v="2"/>
  </r>
  <r>
    <s v="M130"/>
    <s v="Sani Sutradhar"/>
    <n v="1000"/>
    <s v="Monthly"/>
    <s v="Google Pay"/>
    <s v="Normal"/>
    <x v="3"/>
    <d v="2025-05-14T00:00:00"/>
    <x v="2"/>
  </r>
  <r>
    <s v="M131"/>
    <s v="Sanjay Ghosh"/>
    <n v="1000"/>
    <s v="Monthly"/>
    <s v="Google Pay"/>
    <s v="Normal"/>
    <x v="1"/>
    <d v="2025-09-10T00:00:00"/>
    <x v="1"/>
  </r>
  <r>
    <s v="M132"/>
    <s v="Sanjay Saha"/>
    <n v="500"/>
    <s v="Monthly"/>
    <s v="Google Pay"/>
    <s v="Normal"/>
    <x v="1"/>
    <d v="2025-09-04T00:00:00"/>
    <x v="1"/>
  </r>
  <r>
    <s v="M132"/>
    <s v="Sanjay Saha"/>
    <n v="1000"/>
    <s v="Monthly"/>
    <s v="Cash"/>
    <s v="Normal"/>
    <x v="2"/>
    <d v="2025-04-11T00:00:00"/>
    <x v="2"/>
  </r>
  <r>
    <s v="M133"/>
    <s v="Sanu Das"/>
    <n v="1000"/>
    <s v="Monthly"/>
    <s v="Cash"/>
    <s v="Normal"/>
    <x v="0"/>
    <d v="2025-08-06T00:00:00"/>
    <x v="0"/>
  </r>
  <r>
    <s v="M134"/>
    <s v="Sapta Debroy"/>
    <n v="1000"/>
    <s v="Monthly"/>
    <s v="Cash"/>
    <s v="Normal"/>
    <x v="1"/>
    <d v="2025-09-10T00:00:00"/>
    <x v="1"/>
  </r>
  <r>
    <s v="M134"/>
    <s v="Sapta Debroy"/>
    <n v="1000"/>
    <s v="Monthly"/>
    <s v="Google Pay"/>
    <s v="Normal"/>
    <x v="0"/>
    <d v="2025-08-09T00:00:00"/>
    <x v="0"/>
  </r>
  <r>
    <s v="M135"/>
    <s v="Sarat Kar Yadabh"/>
    <n v="1000"/>
    <s v="Monthly"/>
    <s v="Cash"/>
    <s v="Normal"/>
    <x v="0"/>
    <d v="2025-08-20T00:00:00"/>
    <x v="0"/>
  </r>
  <r>
    <s v="M136"/>
    <s v="Sarita Roy"/>
    <n v="2400"/>
    <s v="3 Months"/>
    <s v="Google Pay"/>
    <s v="Normal"/>
    <x v="1"/>
    <d v="2025-11-17T00:00:00"/>
    <x v="1"/>
  </r>
  <r>
    <s v="M137"/>
    <s v="Sarmistha Saha"/>
    <n v="800"/>
    <s v="Monthly"/>
    <s v="Cash"/>
    <s v="Normal"/>
    <x v="4"/>
    <d v="2025-06-18T00:00:00"/>
    <x v="2"/>
  </r>
  <r>
    <s v="M137"/>
    <s v="Sarmistha Saha"/>
    <n v="800"/>
    <s v="Monthly"/>
    <s v="Cash"/>
    <s v="Normal"/>
    <x v="2"/>
    <d v="2025-04-23T00:00:00"/>
    <x v="2"/>
  </r>
  <r>
    <s v="M138"/>
    <s v="Satrajit Datta"/>
    <n v="1000"/>
    <s v="Monthly"/>
    <s v="Cash"/>
    <s v="Normal"/>
    <x v="4"/>
    <d v="2025-06-19T00:00:00"/>
    <x v="2"/>
  </r>
  <r>
    <s v="M138"/>
    <s v="Satrajit Datta"/>
    <n v="1000"/>
    <s v="Monthly"/>
    <s v="Google Pay"/>
    <s v="Normal"/>
    <x v="5"/>
    <d v="2025-07-23T00:00:00"/>
    <x v="2"/>
  </r>
  <r>
    <s v="M139"/>
    <s v="Sayan Ghosh"/>
    <n v="2000"/>
    <s v="Monthly"/>
    <s v="Google Pay"/>
    <s v="PT"/>
    <x v="5"/>
    <d v="2025-07-05T00:00:00"/>
    <x v="2"/>
  </r>
  <r>
    <s v="M139"/>
    <s v="Sayan Ghosh"/>
    <n v="1000"/>
    <s v="Monthly"/>
    <s v="Cash"/>
    <s v="Normal"/>
    <x v="3"/>
    <d v="2025-05-22T00:00:00"/>
    <x v="2"/>
  </r>
  <r>
    <s v="M140"/>
    <s v="Sayan Goswami"/>
    <n v="4000"/>
    <s v="3 Months"/>
    <s v="Google Pay"/>
    <s v="Normal"/>
    <x v="2"/>
    <d v="2025-06-11T00:00:00"/>
    <x v="2"/>
  </r>
  <r>
    <s v="M141"/>
    <s v="Sayan Rudra Paul"/>
    <n v="1000"/>
    <s v="Monthly"/>
    <s v="Google Pay"/>
    <s v="Normal"/>
    <x v="3"/>
    <d v="2025-05-10T00:00:00"/>
    <x v="2"/>
  </r>
  <r>
    <s v="M142"/>
    <s v="Saykajit Roy"/>
    <n v="1000"/>
    <s v="Monthly"/>
    <s v="Cash"/>
    <s v="Normal"/>
    <x v="1"/>
    <d v="2025-09-10T00:00:00"/>
    <x v="1"/>
  </r>
  <r>
    <s v="M143"/>
    <s v="Shakti Saha"/>
    <n v="4000"/>
    <s v="3 Months"/>
    <s v="Google Pay"/>
    <s v="PT"/>
    <x v="0"/>
    <d v="2025-09-29T00:00:00"/>
    <x v="1"/>
  </r>
  <r>
    <s v="M144"/>
    <s v="Shakya Barman"/>
    <n v="1800"/>
    <s v="Monthly"/>
    <s v="Google Pay"/>
    <s v="Normal"/>
    <x v="3"/>
    <d v="2025-05-18T00:00:00"/>
    <x v="2"/>
  </r>
  <r>
    <s v="M145"/>
    <s v="Shaptadeep Debnath"/>
    <n v="1000"/>
    <s v="Monthly"/>
    <s v="Google Pay"/>
    <s v="Normal"/>
    <x v="2"/>
    <d v="2025-04-03T00:00:00"/>
    <x v="2"/>
  </r>
  <r>
    <s v="M145"/>
    <s v="Shaptadeep Debnath"/>
    <n v="1000"/>
    <s v="Monthly"/>
    <s v="Google Pay"/>
    <s v="Normal"/>
    <x v="3"/>
    <d v="2025-05-11T00:00:00"/>
    <x v="2"/>
  </r>
  <r>
    <s v="M146"/>
    <s v="Sharbani Das"/>
    <n v="5000"/>
    <s v="6 Months"/>
    <s v="Google Pay"/>
    <s v="Normal"/>
    <x v="3"/>
    <d v="2025-10-01T00:00:00"/>
    <x v="1"/>
  </r>
  <r>
    <s v="M146"/>
    <s v="Sharbani Das"/>
    <n v="4000"/>
    <s v="3 Months"/>
    <s v="Google Pay"/>
    <s v="PT"/>
    <x v="5"/>
    <d v="2025-09-15T00:00:00"/>
    <x v="1"/>
  </r>
  <r>
    <s v="M147"/>
    <s v="Shilpar Ghosh"/>
    <n v="3000"/>
    <s v="3 Months"/>
    <s v="Google Pay"/>
    <s v="PT"/>
    <x v="0"/>
    <d v="2025-10-03T00:00:00"/>
    <x v="1"/>
  </r>
  <r>
    <s v="M148"/>
    <s v="Shreyaskar Chakraborty"/>
    <n v="1000"/>
    <s v="Monthly"/>
    <s v="Cash"/>
    <s v="Normal"/>
    <x v="1"/>
    <d v="2025-08-31T00:00:00"/>
    <x v="1"/>
  </r>
  <r>
    <s v="M148"/>
    <s v="Shreyaskar Chakraborty"/>
    <n v="1000"/>
    <s v="Monthly"/>
    <s v="Google Pay"/>
    <s v="Normal"/>
    <x v="2"/>
    <d v="2025-04-10T00:00:00"/>
    <x v="2"/>
  </r>
  <r>
    <s v="M148"/>
    <s v="Shreyaskar Chakraborty"/>
    <n v="1000"/>
    <s v="Monthly"/>
    <s v="Google Pay"/>
    <s v="Normal"/>
    <x v="4"/>
    <d v="2025-06-20T00:00:00"/>
    <x v="2"/>
  </r>
  <r>
    <s v="M148"/>
    <s v="Shreyaskar Chakraborty"/>
    <n v="1000"/>
    <s v="Monthly"/>
    <s v="Google Pay"/>
    <s v="Normal"/>
    <x v="3"/>
    <d v="2025-05-14T00:00:00"/>
    <x v="2"/>
  </r>
  <r>
    <s v="M149"/>
    <s v="Shristy Das"/>
    <n v="1000"/>
    <s v="Monthly"/>
    <s v="Cash"/>
    <s v="Normal"/>
    <x v="5"/>
    <d v="2025-07-09T00:00:00"/>
    <x v="2"/>
  </r>
  <r>
    <s v="M150"/>
    <s v="Shubhajyoti Datta"/>
    <n v="1000"/>
    <s v="Monthly"/>
    <s v="Google Pay"/>
    <s v="Normal"/>
    <x v="0"/>
    <d v="2025-07-31T00:00:00"/>
    <x v="2"/>
  </r>
  <r>
    <s v="M151"/>
    <s v="Shubhankar Chakraborty"/>
    <n v="1000"/>
    <s v="Monthly"/>
    <s v="Cash"/>
    <s v="Normal"/>
    <x v="0"/>
    <d v="2025-07-31T00:00:00"/>
    <x v="2"/>
  </r>
  <r>
    <s v="M152"/>
    <s v="Shubhankar Deb"/>
    <n v="1000"/>
    <s v="Monthly"/>
    <s v="Cash"/>
    <s v="Normal"/>
    <x v="2"/>
    <d v="2025-04-28T00:00:00"/>
    <x v="2"/>
  </r>
  <r>
    <s v="M153"/>
    <s v="Shubhjyoti Datta"/>
    <n v="1000"/>
    <s v="Monthly"/>
    <s v="Google Pay"/>
    <s v="Normal"/>
    <x v="1"/>
    <d v="2025-09-01T00:00:00"/>
    <x v="1"/>
  </r>
  <r>
    <s v="M154"/>
    <s v="Shyamal Basfore"/>
    <n v="2500"/>
    <s v="3 Months"/>
    <s v="Google Pay"/>
    <s v="Normal"/>
    <x v="3"/>
    <d v="2025-07-03T00:00:00"/>
    <x v="2"/>
  </r>
  <r>
    <s v="M155"/>
    <s v="Shyan Ghosh"/>
    <n v="1000"/>
    <s v="Monthly"/>
    <s v="Google Pay"/>
    <s v="Normal"/>
    <x v="5"/>
    <d v="2025-07-02T00:00:00"/>
    <x v="2"/>
  </r>
  <r>
    <s v="M156"/>
    <s v="Soumitra Karmakar"/>
    <n v="1000"/>
    <s v="Monthly"/>
    <s v="Google Pay"/>
    <s v="Normal"/>
    <x v="2"/>
    <d v="2025-04-06T00:00:00"/>
    <x v="2"/>
  </r>
  <r>
    <s v="M156"/>
    <s v="Soumitra Karmakar"/>
    <n v="1000"/>
    <s v="Monthly"/>
    <s v="Google Pay"/>
    <s v="Normal"/>
    <x v="4"/>
    <d v="2025-06-13T00:00:00"/>
    <x v="2"/>
  </r>
  <r>
    <s v="M156"/>
    <s v="Soumitra Karmakar"/>
    <n v="1000"/>
    <s v="Monthly"/>
    <s v="Cash"/>
    <s v="Normal"/>
    <x v="3"/>
    <d v="2025-05-14T00:00:00"/>
    <x v="2"/>
  </r>
  <r>
    <s v="M156"/>
    <s v="Soumitra Karmakar"/>
    <n v="1000"/>
    <s v="Monthly"/>
    <s v="Cash"/>
    <s v="Normal"/>
    <x v="1"/>
    <d v="2025-09-13T00:00:00"/>
    <x v="1"/>
  </r>
  <r>
    <s v="M157"/>
    <s v="Sourab Shil"/>
    <n v="2000"/>
    <s v="Monthly"/>
    <s v="Google Pay"/>
    <s v="PT"/>
    <x v="0"/>
    <d v="2025-08-16T00:00:00"/>
    <x v="0"/>
  </r>
  <r>
    <s v="M158"/>
    <s v="Souradu Bikash Roy"/>
    <n v="1000"/>
    <s v="Monthly"/>
    <s v="Google Pay"/>
    <s v="Normal"/>
    <x v="5"/>
    <d v="2025-07-11T00:00:00"/>
    <x v="2"/>
  </r>
  <r>
    <s v="M159"/>
    <s v="Souraj Barua"/>
    <n v="1000"/>
    <s v="Monthly"/>
    <s v="Cash"/>
    <s v="Normal"/>
    <x v="0"/>
    <d v="2025-08-13T00:00:00"/>
    <x v="0"/>
  </r>
  <r>
    <s v="M160"/>
    <s v="Sourav Ghosh"/>
    <n v="1000"/>
    <s v="Monthly"/>
    <s v="Google Pay"/>
    <s v="Normal"/>
    <x v="1"/>
    <d v="2025-09-17T00:00:00"/>
    <x v="1"/>
  </r>
  <r>
    <s v="M161"/>
    <s v="Sourav Shil"/>
    <n v="1000"/>
    <s v="Monthly"/>
    <s v="Cash"/>
    <s v="Normal"/>
    <x v="0"/>
    <d v="2025-07-31T00:00:00"/>
    <x v="2"/>
  </r>
  <r>
    <s v="M162"/>
    <s v="Sourendra Bikash Roy"/>
    <n v="1000"/>
    <s v="Monthly"/>
    <s v="Cash"/>
    <s v="Normal"/>
    <x v="0"/>
    <d v="2025-07-31T00:00:00"/>
    <x v="2"/>
  </r>
  <r>
    <s v="M163"/>
    <s v="Souvik Sarkar"/>
    <n v="1000"/>
    <s v="Monthly"/>
    <s v="Cash"/>
    <s v="Normal"/>
    <x v="1"/>
    <d v="2025-09-03T00:00:00"/>
    <x v="1"/>
  </r>
  <r>
    <s v="M164"/>
    <s v="Stephen Joy"/>
    <n v="4200"/>
    <s v="3 Months"/>
    <s v="Google Pay"/>
    <s v="Normal"/>
    <x v="4"/>
    <d v="2025-07-30T00:00:00"/>
    <x v="2"/>
  </r>
  <r>
    <s v="M165"/>
    <s v="Subhadeep Nath"/>
    <n v="1000"/>
    <s v="Monthly"/>
    <s v="Cash"/>
    <s v="Normal"/>
    <x v="4"/>
    <d v="2025-06-08T00:00:00"/>
    <x v="2"/>
  </r>
  <r>
    <s v="M165"/>
    <s v="Subhadeep Nath"/>
    <n v="1000"/>
    <s v="Monthly"/>
    <s v="Cash"/>
    <s v="Normal"/>
    <x v="0"/>
    <d v="2025-08-10T00:00:00"/>
    <x v="0"/>
  </r>
  <r>
    <s v="M166"/>
    <s v="Subhajit Paul"/>
    <n v="1000"/>
    <s v="Monthly"/>
    <s v="Google Pay"/>
    <s v="Normal"/>
    <x v="0"/>
    <d v="2025-08-02T00:00:00"/>
    <x v="0"/>
  </r>
  <r>
    <s v="M167"/>
    <s v="Subhajit Saha"/>
    <n v="1000"/>
    <s v="Monthly"/>
    <s v="Cash"/>
    <s v="Normal"/>
    <x v="0"/>
    <d v="2025-08-27T00:00:00"/>
    <x v="0"/>
  </r>
  <r>
    <s v="M168"/>
    <s v="Subhajit Sinha"/>
    <n v="1000"/>
    <s v="Monthly"/>
    <s v="Google Pay"/>
    <s v="Normal"/>
    <x v="1"/>
    <d v="2025-09-10T00:00:00"/>
    <x v="1"/>
  </r>
  <r>
    <s v="M169"/>
    <s v="Subham Bhowmik"/>
    <n v="1000"/>
    <s v="Monthly"/>
    <s v="Google Pay"/>
    <s v="Normal"/>
    <x v="2"/>
    <d v="2025-04-16T00:00:00"/>
    <x v="2"/>
  </r>
  <r>
    <s v="M170"/>
    <s v="Subham Debnath"/>
    <n v="2400"/>
    <s v="3 Months"/>
    <s v="Cash"/>
    <s v="Normal"/>
    <x v="3"/>
    <d v="2025-07-10T00:00:00"/>
    <x v="2"/>
  </r>
  <r>
    <s v="M170"/>
    <s v="Subham Debnath"/>
    <n v="2400"/>
    <s v="3 Months"/>
    <s v="Google Pay"/>
    <s v="Normal"/>
    <x v="1"/>
    <d v="2025-11-17T00:00:00"/>
    <x v="1"/>
  </r>
  <r>
    <s v="M171"/>
    <s v="Subham Paul"/>
    <n v="1000"/>
    <s v="Monthly"/>
    <s v="Cash"/>
    <s v="Normal"/>
    <x v="5"/>
    <d v="2025-07-23T00:00:00"/>
    <x v="2"/>
  </r>
  <r>
    <s v="M172"/>
    <s v="Subhankar Deb"/>
    <n v="1000"/>
    <s v="Monthly"/>
    <s v="Cash"/>
    <s v="Normal"/>
    <x v="2"/>
    <d v="2025-04-13T00:00:00"/>
    <x v="2"/>
  </r>
  <r>
    <s v="M172"/>
    <s v="Subhankar Deb"/>
    <n v="1000"/>
    <s v="Monthly"/>
    <s v="Cash"/>
    <s v="Normal"/>
    <x v="0"/>
    <d v="2025-08-10T00:00:00"/>
    <x v="0"/>
  </r>
  <r>
    <s v="M173"/>
    <s v="Subhodeep Nath"/>
    <n v="1000"/>
    <s v="Monthly"/>
    <s v="Cash"/>
    <s v="Normal"/>
    <x v="5"/>
    <d v="2025-07-10T00:00:00"/>
    <x v="2"/>
  </r>
  <r>
    <s v="M174"/>
    <s v="Subhrajit Ghosh"/>
    <n v="1000"/>
    <s v="Monthly"/>
    <s v="Google Pay"/>
    <s v="Normal"/>
    <x v="3"/>
    <d v="2025-05-10T00:00:00"/>
    <x v="2"/>
  </r>
  <r>
    <s v="M174"/>
    <s v="Subhrajit Ghosh"/>
    <n v="1000"/>
    <s v="Monthly"/>
    <s v="Google Pay"/>
    <s v="Normal"/>
    <x v="1"/>
    <d v="2025-09-17T00:00:00"/>
    <x v="1"/>
  </r>
  <r>
    <s v="M175"/>
    <s v="Subhrajyoti Roy"/>
    <n v="1000"/>
    <s v="Monthly"/>
    <s v="Google Pay"/>
    <s v="Normal"/>
    <x v="4"/>
    <d v="2025-06-06T00:00:00"/>
    <x v="2"/>
  </r>
  <r>
    <s v="M176"/>
    <s v="Subhrojit Ghosh"/>
    <n v="1000"/>
    <s v="Monthly"/>
    <s v="Google Pay"/>
    <s v="Normal"/>
    <x v="2"/>
    <d v="2025-03-31T00:00:00"/>
    <x v="2"/>
  </r>
  <r>
    <s v="M176"/>
    <s v="Subhrojit Ghosh"/>
    <n v="1000"/>
    <s v="Monthly"/>
    <s v="Google Pay"/>
    <s v="Normal"/>
    <x v="4"/>
    <d v="2025-06-05T00:00:00"/>
    <x v="2"/>
  </r>
  <r>
    <s v="M177"/>
    <s v="Subir Paul"/>
    <n v="500"/>
    <s v="Monthly"/>
    <s v="Cash"/>
    <s v="Normal"/>
    <x v="4"/>
    <d v="2025-06-21T00:00:00"/>
    <x v="2"/>
  </r>
  <r>
    <s v="M177"/>
    <s v="Subir Paul"/>
    <n v="1000"/>
    <s v="Monthly"/>
    <s v="Google Pay"/>
    <s v="Normal"/>
    <x v="1"/>
    <d v="2025-09-17T00:00:00"/>
    <x v="1"/>
  </r>
  <r>
    <s v="M177"/>
    <s v="Subir Paul"/>
    <n v="1000"/>
    <s v="Monthly"/>
    <s v="Google Pay"/>
    <s v="Normal"/>
    <x v="5"/>
    <d v="2025-07-21T00:00:00"/>
    <x v="2"/>
  </r>
  <r>
    <s v="M177"/>
    <s v="Subir Paul"/>
    <n v="1000"/>
    <s v="Monthly"/>
    <s v="Cash"/>
    <s v="Normal"/>
    <x v="3"/>
    <d v="2025-05-16T00:00:00"/>
    <x v="2"/>
  </r>
  <r>
    <s v="M177"/>
    <s v="Subir Paul"/>
    <n v="1000"/>
    <s v="Monthly"/>
    <s v="Cash"/>
    <s v="Normal"/>
    <x v="0"/>
    <d v="2025-08-23T00:00:00"/>
    <x v="0"/>
  </r>
  <r>
    <s v="M178"/>
    <s v="Subratanu Saha"/>
    <n v="1000"/>
    <s v="Monthly"/>
    <s v="Google Pay"/>
    <s v="Normal"/>
    <x v="5"/>
    <d v="2025-07-07T00:00:00"/>
    <x v="2"/>
  </r>
  <r>
    <s v="M179"/>
    <s v="Sujit Sarkar"/>
    <n v="1000"/>
    <s v="Monthly"/>
    <s v="Google Pay"/>
    <s v="Normal"/>
    <x v="3"/>
    <d v="2025-05-10T00:00:00"/>
    <x v="2"/>
  </r>
  <r>
    <s v="M180"/>
    <s v="Sukanta Das"/>
    <n v="1000"/>
    <s v="Monthly"/>
    <s v="Google Pay"/>
    <s v="Normal"/>
    <x v="4"/>
    <d v="2025-05-31T00:00:00"/>
    <x v="2"/>
  </r>
  <r>
    <s v="M180"/>
    <s v="Sukanta Das"/>
    <n v="1000"/>
    <s v="Monthly"/>
    <s v="Google Pay"/>
    <s v="Normal"/>
    <x v="0"/>
    <d v="2025-08-02T00:00:00"/>
    <x v="0"/>
  </r>
  <r>
    <s v="M180"/>
    <s v="Sukanta Das"/>
    <n v="1000"/>
    <s v="Monthly"/>
    <s v="Cash"/>
    <s v="Normal"/>
    <x v="5"/>
    <d v="2025-07-09T00:00:00"/>
    <x v="2"/>
  </r>
  <r>
    <s v="M181"/>
    <s v="Suman Das"/>
    <n v="1000"/>
    <s v="Monthly"/>
    <s v="Cash"/>
    <s v="Normal"/>
    <x v="3"/>
    <d v="2025-05-16T00:00:00"/>
    <x v="2"/>
  </r>
  <r>
    <s v="M182"/>
    <s v="Sumitra Das"/>
    <n v="1000"/>
    <s v="Monthly"/>
    <s v="Cash"/>
    <s v="Normal"/>
    <x v="4"/>
    <d v="2025-06-06T00:00:00"/>
    <x v="2"/>
  </r>
  <r>
    <s v="M182"/>
    <s v="Sumitra Das"/>
    <n v="1000"/>
    <s v="Monthly"/>
    <s v="Cash"/>
    <s v="Normal"/>
    <x v="5"/>
    <d v="2025-07-09T00:00:00"/>
    <x v="2"/>
  </r>
  <r>
    <s v="M182"/>
    <s v="Sumitra Das"/>
    <n v="1000"/>
    <s v="Monthly"/>
    <s v="Cash"/>
    <s v="Normal"/>
    <x v="3"/>
    <d v="2025-05-11T00:00:00"/>
    <x v="2"/>
  </r>
  <r>
    <s v="M183"/>
    <s v="Sunil Singha"/>
    <n v="1000"/>
    <s v="Monthly"/>
    <s v="Google Pay"/>
    <s v="Normal"/>
    <x v="3"/>
    <d v="2025-05-22T00:00:00"/>
    <x v="2"/>
  </r>
  <r>
    <s v="M184"/>
    <s v="Sunu Das"/>
    <n v="1500"/>
    <s v="Monthly"/>
    <s v="Cash"/>
    <s v="Normal"/>
    <x v="4"/>
    <d v="2025-06-04T00:00:00"/>
    <x v="2"/>
  </r>
  <r>
    <s v="M184"/>
    <s v="Sunu Das"/>
    <n v="1000"/>
    <s v="Monthly"/>
    <s v="Cash"/>
    <s v="Normal"/>
    <x v="5"/>
    <d v="2025-07-07T00:00:00"/>
    <x v="2"/>
  </r>
  <r>
    <s v="M185"/>
    <s v="Supan Debnath"/>
    <n v="1000"/>
    <s v="Monthly"/>
    <s v="Google Pay"/>
    <s v="Normal"/>
    <x v="1"/>
    <d v="2025-09-17T00:00:00"/>
    <x v="1"/>
  </r>
  <r>
    <s v="M186"/>
    <s v="Supritam Deb"/>
    <n v="1000"/>
    <s v="Monthly"/>
    <s v="Google Pay"/>
    <s v="Normal"/>
    <x v="3"/>
    <d v="2025-05-16T00:00:00"/>
    <x v="2"/>
  </r>
  <r>
    <s v="M187"/>
    <s v="Supriya Banik"/>
    <n v="1400"/>
    <s v="Monthly"/>
    <s v="Cash"/>
    <s v="Normal"/>
    <x v="3"/>
    <d v="2025-05-01T00:00:00"/>
    <x v="2"/>
  </r>
  <r>
    <s v="M187"/>
    <s v="Supriya Banik"/>
    <n v="2400"/>
    <s v="3 Months"/>
    <s v="Cash"/>
    <s v="Normal"/>
    <x v="0"/>
    <d v="2025-10-03T00:00:00"/>
    <x v="1"/>
  </r>
  <r>
    <s v="M187"/>
    <s v="Supriya Banik"/>
    <n v="1000"/>
    <s v="Monthly"/>
    <s v="Google Pay"/>
    <s v="Normal"/>
    <x v="2"/>
    <d v="2025-04-24T00:00:00"/>
    <x v="2"/>
  </r>
  <r>
    <s v="M188"/>
    <s v="Supriya Dhar"/>
    <n v="2400"/>
    <s v="3 Months"/>
    <s v="Cash"/>
    <s v="Normal"/>
    <x v="1"/>
    <d v="2025-11-03T00:00:00"/>
    <x v="1"/>
  </r>
  <r>
    <s v="M189"/>
    <s v="Suraj Barua"/>
    <n v="2400"/>
    <s v="3 Months"/>
    <s v="Google Pay"/>
    <s v="Normal"/>
    <x v="2"/>
    <d v="2025-06-22T00:00:00"/>
    <x v="2"/>
  </r>
  <r>
    <s v="M190"/>
    <s v="Surajit Chakraborty"/>
    <n v="1000"/>
    <s v="Monthly"/>
    <s v="Google Pay"/>
    <s v="Normal"/>
    <x v="5"/>
    <d v="2025-07-03T00:00:00"/>
    <x v="2"/>
  </r>
  <r>
    <s v="M190"/>
    <s v="Surajit Chakraborty"/>
    <n v="1000"/>
    <s v="Monthly"/>
    <s v="Google Pay"/>
    <s v="Normal"/>
    <x v="0"/>
    <d v="2025-08-01T00:00:00"/>
    <x v="0"/>
  </r>
  <r>
    <s v="M191"/>
    <s v="Suranda Bikash Roy"/>
    <n v="1000"/>
    <s v="Monthly"/>
    <s v="Google Pay"/>
    <s v="Normal"/>
    <x v="3"/>
    <d v="2025-05-11T00:00:00"/>
    <x v="2"/>
  </r>
  <r>
    <s v="M191"/>
    <s v="Suranda Bikash Roy"/>
    <n v="1000"/>
    <s v="Monthly"/>
    <s v="Google Pay"/>
    <s v="Normal"/>
    <x v="2"/>
    <d v="2025-04-09T00:00:00"/>
    <x v="2"/>
  </r>
  <r>
    <s v="M192"/>
    <s v="Suryayan Nath"/>
    <n v="7000"/>
    <s v="6 Months"/>
    <s v="Cash"/>
    <s v="Normal"/>
    <x v="3"/>
    <d v="2025-10-09T00:00:00"/>
    <x v="1"/>
  </r>
  <r>
    <s v="M193"/>
    <s v="Susanta Sinha"/>
    <n v="2400"/>
    <s v="3 Months"/>
    <s v="Google Pay"/>
    <s v="Normal"/>
    <x v="4"/>
    <d v="2025-08-03T00:00:00"/>
    <x v="0"/>
  </r>
  <r>
    <s v="M194"/>
    <s v="Sushanta Chakraborty"/>
    <n v="1000"/>
    <s v="Monthly"/>
    <s v="Cash"/>
    <s v="Normal"/>
    <x v="3"/>
    <d v="2025-05-01T00:00:00"/>
    <x v="2"/>
  </r>
  <r>
    <s v="M195"/>
    <s v="Sushmita Sinha"/>
    <n v="800"/>
    <s v="Monthly"/>
    <s v="Google Pay"/>
    <s v="Normal"/>
    <x v="0"/>
    <d v="2025-08-23T00:00:00"/>
    <x v="0"/>
  </r>
  <r>
    <s v="M196"/>
    <s v="Swpam Debnath"/>
    <n v="1000"/>
    <s v="Monthly"/>
    <s v="Cash"/>
    <s v="Normal"/>
    <x v="0"/>
    <d v="2025-08-03T00:00:00"/>
    <x v="0"/>
  </r>
  <r>
    <s v="M197"/>
    <s v="Tampa Majumder"/>
    <n v="1000"/>
    <s v="Monthly"/>
    <s v="Google Pay"/>
    <s v="Normal"/>
    <x v="5"/>
    <d v="2025-07-03T00:00:00"/>
    <x v="2"/>
  </r>
  <r>
    <s v="M197"/>
    <s v="Tampa Majumder"/>
    <n v="1000"/>
    <s v="Monthly"/>
    <s v="Cash"/>
    <s v="Normal"/>
    <x v="2"/>
    <d v="2025-04-06T00:00:00"/>
    <x v="2"/>
  </r>
  <r>
    <s v="M197"/>
    <s v="Tampa Majumder"/>
    <n v="1000"/>
    <s v="Monthly"/>
    <s v="Google Pay"/>
    <s v="Normal"/>
    <x v="3"/>
    <d v="2025-05-11T00:00:00"/>
    <x v="2"/>
  </r>
  <r>
    <s v="M197"/>
    <s v="Tampa Majumder"/>
    <n v="1000"/>
    <s v="Monthly"/>
    <s v="Google Pay"/>
    <s v="Normal"/>
    <x v="0"/>
    <d v="2025-08-06T00:00:00"/>
    <x v="0"/>
  </r>
  <r>
    <s v="M197"/>
    <s v="Tampa Majumder"/>
    <n v="1000"/>
    <s v="Monthly"/>
    <s v="Cash"/>
    <s v="Normal"/>
    <x v="1"/>
    <d v="2025-09-06T00:00:00"/>
    <x v="1"/>
  </r>
  <r>
    <s v="M198"/>
    <s v="Tanmoy Dey"/>
    <n v="1000"/>
    <s v="Monthly"/>
    <s v="Google Pay"/>
    <s v="Normal"/>
    <x v="0"/>
    <d v="2025-08-02T00:00:00"/>
    <x v="0"/>
  </r>
  <r>
    <s v="M198"/>
    <s v="Tanmoy Dey"/>
    <n v="1000"/>
    <s v="Monthly"/>
    <s v="Google Pay"/>
    <s v="Normal"/>
    <x v="2"/>
    <d v="2025-04-04T00:00:00"/>
    <x v="2"/>
  </r>
  <r>
    <s v="M198"/>
    <s v="Tanmoy Dey"/>
    <n v="1000"/>
    <s v="Monthly"/>
    <s v="Google Pay"/>
    <s v="Normal"/>
    <x v="1"/>
    <d v="2025-09-05T00:00:00"/>
    <x v="1"/>
  </r>
  <r>
    <s v="M198"/>
    <s v="Tanmoy Dey"/>
    <n v="1000"/>
    <s v="Monthly"/>
    <s v="Google Pay"/>
    <s v="Normal"/>
    <x v="4"/>
    <d v="2025-06-20T00:00:00"/>
    <x v="2"/>
  </r>
  <r>
    <s v="M199"/>
    <s v="Tanusree Debnath"/>
    <n v="1000"/>
    <s v="Monthly"/>
    <s v="Google Pay"/>
    <s v="Normal"/>
    <x v="4"/>
    <d v="2025-06-01T00:00:00"/>
    <x v="2"/>
  </r>
  <r>
    <s v="M200"/>
    <s v="Uday Debnath"/>
    <n v="1000"/>
    <s v="Monthly"/>
    <s v="Cash"/>
    <s v="Normal"/>
    <x v="3"/>
    <d v="2025-05-02T00:00:00"/>
    <x v="2"/>
  </r>
  <r>
    <s v="M200"/>
    <s v="Uday Debnath"/>
    <n v="1000"/>
    <s v="Monthly"/>
    <s v="Cash"/>
    <s v="Normal"/>
    <x v="4"/>
    <d v="2025-06-18T00:00:00"/>
    <x v="2"/>
  </r>
  <r>
    <s v="M201"/>
    <s v="Udaysagar Roy"/>
    <n v="1000"/>
    <s v="Monthly"/>
    <s v="Google Pay"/>
    <s v="Normal"/>
    <x v="5"/>
    <d v="2025-07-03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M001"/>
    <d v="2025-07-04T00:00:00"/>
    <d v="2025-08-03T00:00:00"/>
    <s v="At Risk"/>
    <n v="58"/>
    <n v="1"/>
    <n v="1000"/>
    <n v="4"/>
    <n v="1"/>
    <n v="1"/>
    <s v="411"/>
    <x v="0"/>
    <s v="Monthly"/>
  </r>
  <r>
    <s v="M002"/>
    <d v="2025-08-06T00:00:00"/>
    <d v="2025-09-05T00:00:00"/>
    <s v="Active"/>
    <n v="25"/>
    <n v="2"/>
    <n v="2000"/>
    <n v="5"/>
    <n v="2"/>
    <n v="2"/>
    <s v="522"/>
    <x v="0"/>
    <s v="Monthly"/>
  </r>
  <r>
    <s v="M003"/>
    <d v="2025-07-25T00:00:00"/>
    <d v="2025-10-23T00:00:00"/>
    <s v="Active"/>
    <n v="37"/>
    <n v="1"/>
    <n v="4000"/>
    <n v="4"/>
    <n v="1"/>
    <n v="4"/>
    <s v="414"/>
    <x v="0"/>
    <s v="3 Months"/>
  </r>
  <r>
    <s v="M004"/>
    <d v="2025-04-12T00:00:00"/>
    <d v="2025-05-12T00:00:00"/>
    <s v="Churn Risk"/>
    <n v="141"/>
    <n v="2"/>
    <n v="2000"/>
    <n v="1"/>
    <n v="2"/>
    <n v="2"/>
    <s v="122"/>
    <x v="1"/>
    <s v="Monthly"/>
  </r>
  <r>
    <s v="M005"/>
    <d v="2025-05-09T00:00:00"/>
    <d v="2025-06-08T00:00:00"/>
    <s v="Churn Risk"/>
    <n v="114"/>
    <n v="1"/>
    <n v="1000"/>
    <n v="2"/>
    <n v="1"/>
    <n v="1"/>
    <s v="211"/>
    <x v="1"/>
    <s v="Monthly"/>
  </r>
  <r>
    <s v="M006"/>
    <d v="2025-08-14T00:00:00"/>
    <d v="2025-09-13T00:00:00"/>
    <s v="Active"/>
    <n v="17"/>
    <n v="2"/>
    <n v="2500"/>
    <n v="5"/>
    <n v="2"/>
    <n v="2"/>
    <s v="522"/>
    <x v="0"/>
    <s v="Monthly"/>
  </r>
  <r>
    <s v="M007"/>
    <d v="2025-08-06T00:00:00"/>
    <d v="2025-09-05T00:00:00"/>
    <s v="Active"/>
    <n v="25"/>
    <n v="1"/>
    <n v="1000"/>
    <n v="5"/>
    <n v="1"/>
    <n v="1"/>
    <s v="511"/>
    <x v="0"/>
    <s v="Monthly"/>
  </r>
  <r>
    <s v="M008"/>
    <d v="2025-08-18T00:00:00"/>
    <d v="2025-09-17T00:00:00"/>
    <s v="Active"/>
    <n v="13"/>
    <n v="4"/>
    <n v="4000"/>
    <n v="5"/>
    <n v="4"/>
    <n v="4"/>
    <s v="544"/>
    <x v="2"/>
    <s v="Monthly"/>
  </r>
  <r>
    <s v="M009"/>
    <d v="2025-08-05T00:00:00"/>
    <d v="2025-09-04T00:00:00"/>
    <s v="Active"/>
    <n v="26"/>
    <n v="1"/>
    <n v="1000"/>
    <n v="5"/>
    <n v="1"/>
    <n v="1"/>
    <s v="511"/>
    <x v="0"/>
    <s v="Monthly"/>
  </r>
  <r>
    <s v="M010"/>
    <d v="2025-06-02T00:00:00"/>
    <d v="2025-08-31T00:00:00"/>
    <s v="Active"/>
    <n v="90"/>
    <n v="4"/>
    <n v="5400"/>
    <n v="3"/>
    <n v="4"/>
    <n v="5"/>
    <s v="345"/>
    <x v="3"/>
    <s v="3 Months"/>
  </r>
  <r>
    <s v="M011"/>
    <d v="2025-07-14T00:00:00"/>
    <d v="2025-08-13T00:00:00"/>
    <s v="At Risk"/>
    <n v="48"/>
    <n v="4"/>
    <n v="4000"/>
    <n v="4"/>
    <n v="4"/>
    <n v="4"/>
    <s v="444"/>
    <x v="2"/>
    <s v="Monthly"/>
  </r>
  <r>
    <s v="M012"/>
    <d v="2025-08-06T00:00:00"/>
    <d v="2025-09-05T00:00:00"/>
    <s v="Active"/>
    <n v="25"/>
    <n v="1"/>
    <n v="1000"/>
    <n v="5"/>
    <n v="1"/>
    <n v="1"/>
    <s v="511"/>
    <x v="0"/>
    <s v="Monthly"/>
  </r>
  <r>
    <s v="M013"/>
    <d v="2025-04-11T00:00:00"/>
    <d v="2025-07-10T00:00:00"/>
    <s v="Churn Risk"/>
    <n v="142"/>
    <n v="1"/>
    <n v="2400"/>
    <n v="1"/>
    <n v="1"/>
    <n v="2"/>
    <s v="112"/>
    <x v="1"/>
    <s v="3 Months"/>
  </r>
  <r>
    <s v="M014"/>
    <d v="2025-07-18T00:00:00"/>
    <d v="2025-08-17T00:00:00"/>
    <s v="At Risk"/>
    <n v="44"/>
    <n v="5"/>
    <n v="5000"/>
    <n v="4"/>
    <n v="5"/>
    <n v="5"/>
    <s v="455"/>
    <x v="2"/>
    <s v="Monthly"/>
  </r>
  <r>
    <s v="M015"/>
    <d v="2025-05-16T00:00:00"/>
    <d v="2025-06-15T00:00:00"/>
    <s v="Churn Risk"/>
    <n v="107"/>
    <n v="2"/>
    <n v="2000"/>
    <n v="2"/>
    <n v="2"/>
    <n v="2"/>
    <s v="222"/>
    <x v="1"/>
    <s v="Monthly"/>
  </r>
  <r>
    <s v="M016"/>
    <d v="2025-04-18T00:00:00"/>
    <d v="2025-05-18T00:00:00"/>
    <s v="Churn Risk"/>
    <n v="135"/>
    <n v="2"/>
    <n v="2000"/>
    <n v="1"/>
    <n v="2"/>
    <n v="2"/>
    <s v="122"/>
    <x v="1"/>
    <s v="Monthly"/>
  </r>
  <r>
    <s v="M017"/>
    <d v="2025-05-09T00:00:00"/>
    <d v="2025-08-07T00:00:00"/>
    <s v="At Risk"/>
    <n v="114"/>
    <n v="1"/>
    <n v="2400"/>
    <n v="2"/>
    <n v="1"/>
    <n v="2"/>
    <s v="212"/>
    <x v="1"/>
    <s v="3 Months"/>
  </r>
  <r>
    <s v="M018"/>
    <d v="2025-08-06T00:00:00"/>
    <d v="2025-09-05T00:00:00"/>
    <s v="Active"/>
    <n v="25"/>
    <n v="1"/>
    <n v="2000"/>
    <n v="5"/>
    <n v="1"/>
    <n v="2"/>
    <s v="512"/>
    <x v="0"/>
    <s v="Monthly"/>
  </r>
  <r>
    <s v="M019"/>
    <d v="2025-07-22T00:00:00"/>
    <d v="2025-08-21T00:00:00"/>
    <s v="At Risk"/>
    <n v="40"/>
    <n v="3"/>
    <n v="3000"/>
    <n v="4"/>
    <n v="3"/>
    <n v="3"/>
    <s v="433"/>
    <x v="3"/>
    <s v="Monthly"/>
  </r>
  <r>
    <s v="M020"/>
    <d v="2025-05-19T00:00:00"/>
    <d v="2025-06-18T00:00:00"/>
    <s v="Churn Risk"/>
    <n v="104"/>
    <n v="2"/>
    <n v="1400"/>
    <n v="2"/>
    <n v="2"/>
    <n v="1"/>
    <s v="221"/>
    <x v="1"/>
    <s v="Monthly"/>
  </r>
  <r>
    <s v="M021"/>
    <d v="2025-07-23T00:00:00"/>
    <d v="2025-08-22T00:00:00"/>
    <s v="At Risk"/>
    <n v="39"/>
    <n v="1"/>
    <n v="1000"/>
    <n v="4"/>
    <n v="1"/>
    <n v="1"/>
    <s v="411"/>
    <x v="0"/>
    <s v="Monthly"/>
  </r>
  <r>
    <s v="M022"/>
    <d v="2025-04-14T00:00:00"/>
    <d v="2025-07-13T00:00:00"/>
    <s v="Churn Risk"/>
    <n v="139"/>
    <n v="1"/>
    <n v="2400"/>
    <n v="1"/>
    <n v="1"/>
    <n v="2"/>
    <s v="112"/>
    <x v="1"/>
    <s v="3 Months"/>
  </r>
  <r>
    <s v="M023"/>
    <d v="2025-03-18T00:00:00"/>
    <d v="2025-04-17T00:00:00"/>
    <s v="Churn Risk"/>
    <n v="166"/>
    <n v="1"/>
    <n v="1000"/>
    <n v="1"/>
    <n v="1"/>
    <n v="1"/>
    <s v="111"/>
    <x v="1"/>
    <s v="Monthly"/>
  </r>
  <r>
    <s v="M024"/>
    <d v="2025-07-16T00:00:00"/>
    <d v="2025-08-15T00:00:00"/>
    <s v="At Risk"/>
    <n v="46"/>
    <n v="3"/>
    <n v="3000"/>
    <n v="4"/>
    <n v="3"/>
    <n v="3"/>
    <s v="433"/>
    <x v="3"/>
    <s v="Monthly"/>
  </r>
  <r>
    <s v="M025"/>
    <d v="2025-04-07T00:00:00"/>
    <d v="2025-07-06T00:00:00"/>
    <s v="Churn Risk"/>
    <n v="146"/>
    <n v="1"/>
    <n v="4200"/>
    <n v="1"/>
    <n v="1"/>
    <n v="4"/>
    <s v="114"/>
    <x v="1"/>
    <s v="3 Months"/>
  </r>
  <r>
    <s v="M026"/>
    <d v="2025-05-15T00:00:00"/>
    <d v="2025-06-14T00:00:00"/>
    <s v="Churn Risk"/>
    <n v="108"/>
    <n v="1"/>
    <n v="1000"/>
    <n v="2"/>
    <n v="1"/>
    <n v="1"/>
    <s v="211"/>
    <x v="1"/>
    <s v="Monthly"/>
  </r>
  <r>
    <s v="M027"/>
    <d v="2025-05-12T00:00:00"/>
    <d v="2025-06-11T00:00:00"/>
    <s v="Churn Risk"/>
    <n v="111"/>
    <n v="1"/>
    <n v="1000"/>
    <n v="2"/>
    <n v="1"/>
    <n v="1"/>
    <s v="211"/>
    <x v="1"/>
    <s v="Monthly"/>
  </r>
  <r>
    <s v="M028"/>
    <d v="2025-07-01T00:00:00"/>
    <d v="2025-07-31T00:00:00"/>
    <s v="Churn Risk"/>
    <n v="61"/>
    <n v="4"/>
    <n v="4000"/>
    <n v="3"/>
    <n v="4"/>
    <n v="4"/>
    <s v="344"/>
    <x v="3"/>
    <s v="Monthly"/>
  </r>
  <r>
    <s v="M029"/>
    <d v="2025-04-01T00:00:00"/>
    <d v="2025-06-30T00:00:00"/>
    <s v="Churn Risk"/>
    <n v="152"/>
    <n v="1"/>
    <n v="4000"/>
    <n v="1"/>
    <n v="1"/>
    <n v="4"/>
    <s v="114"/>
    <x v="1"/>
    <s v="3 Months"/>
  </r>
  <r>
    <s v="M030"/>
    <d v="2025-08-05T00:00:00"/>
    <d v="2025-09-04T00:00:00"/>
    <s v="Active"/>
    <n v="26"/>
    <n v="6"/>
    <n v="6000"/>
    <n v="5"/>
    <n v="5"/>
    <n v="5"/>
    <s v="555"/>
    <x v="2"/>
    <s v="Monthly"/>
  </r>
  <r>
    <s v="M031"/>
    <d v="2025-07-04T00:00:00"/>
    <d v="2025-08-03T00:00:00"/>
    <s v="At Risk"/>
    <n v="58"/>
    <n v="4"/>
    <n v="4000"/>
    <n v="4"/>
    <n v="4"/>
    <n v="4"/>
    <s v="444"/>
    <x v="2"/>
    <s v="Monthly"/>
  </r>
  <r>
    <s v="M032"/>
    <d v="2025-08-06T00:00:00"/>
    <d v="2025-09-05T00:00:00"/>
    <s v="Active"/>
    <n v="25"/>
    <n v="6"/>
    <n v="6000"/>
    <n v="5"/>
    <n v="5"/>
    <n v="5"/>
    <s v="555"/>
    <x v="2"/>
    <s v="Monthly"/>
  </r>
  <r>
    <s v="M033"/>
    <d v="2025-04-11T00:00:00"/>
    <d v="2025-05-11T00:00:00"/>
    <s v="Churn Risk"/>
    <n v="142"/>
    <n v="1"/>
    <n v="1000"/>
    <n v="1"/>
    <n v="1"/>
    <n v="1"/>
    <s v="111"/>
    <x v="1"/>
    <s v="Monthly"/>
  </r>
  <r>
    <s v="M034"/>
    <d v="2025-08-05T00:00:00"/>
    <d v="2025-09-04T00:00:00"/>
    <s v="Active"/>
    <n v="26"/>
    <n v="1"/>
    <n v="1000"/>
    <n v="5"/>
    <n v="1"/>
    <n v="1"/>
    <s v="511"/>
    <x v="0"/>
    <s v="Monthly"/>
  </r>
  <r>
    <s v="M035"/>
    <d v="2025-07-30T00:00:00"/>
    <d v="2025-08-29T00:00:00"/>
    <s v="At Risk"/>
    <n v="32"/>
    <n v="1"/>
    <n v="1000"/>
    <n v="4"/>
    <n v="1"/>
    <n v="1"/>
    <s v="411"/>
    <x v="0"/>
    <s v="Monthly"/>
  </r>
  <r>
    <s v="M036"/>
    <d v="2025-06-16T00:00:00"/>
    <d v="2025-07-16T00:00:00"/>
    <s v="Churn Risk"/>
    <n v="76"/>
    <n v="1"/>
    <n v="1000"/>
    <n v="3"/>
    <n v="1"/>
    <n v="1"/>
    <s v="311"/>
    <x v="1"/>
    <s v="Monthly"/>
  </r>
  <r>
    <s v="M037"/>
    <d v="2025-08-13T00:00:00"/>
    <d v="2025-09-12T00:00:00"/>
    <s v="Active"/>
    <n v="18"/>
    <n v="4"/>
    <n v="4000"/>
    <n v="5"/>
    <n v="4"/>
    <n v="4"/>
    <s v="544"/>
    <x v="2"/>
    <s v="Monthly"/>
  </r>
  <r>
    <s v="M038"/>
    <d v="2025-07-15T00:00:00"/>
    <d v="2025-08-14T00:00:00"/>
    <s v="At Risk"/>
    <n v="47"/>
    <n v="3"/>
    <n v="4000"/>
    <n v="4"/>
    <n v="3"/>
    <n v="4"/>
    <s v="434"/>
    <x v="3"/>
    <s v="Monthly"/>
  </r>
  <r>
    <s v="M039"/>
    <d v="2025-06-03T00:00:00"/>
    <d v="2025-09-01T00:00:00"/>
    <s v="Active"/>
    <n v="89"/>
    <n v="1"/>
    <n v="3000"/>
    <n v="3"/>
    <n v="1"/>
    <n v="3"/>
    <s v="313"/>
    <x v="1"/>
    <s v="3 Months"/>
  </r>
  <r>
    <s v="M040"/>
    <d v="2025-05-08T00:00:00"/>
    <d v="2025-06-07T00:00:00"/>
    <s v="Churn Risk"/>
    <n v="115"/>
    <n v="2"/>
    <n v="2000"/>
    <n v="2"/>
    <n v="2"/>
    <n v="2"/>
    <s v="222"/>
    <x v="1"/>
    <s v="Monthly"/>
  </r>
  <r>
    <s v="M041"/>
    <d v="2025-08-05T00:00:00"/>
    <d v="2025-09-04T00:00:00"/>
    <s v="Active"/>
    <n v="26"/>
    <n v="1"/>
    <n v="1000"/>
    <n v="5"/>
    <n v="1"/>
    <n v="1"/>
    <s v="511"/>
    <x v="0"/>
    <s v="Monthly"/>
  </r>
  <r>
    <s v="M042"/>
    <d v="2025-07-14T00:00:00"/>
    <d v="2025-08-13T00:00:00"/>
    <s v="At Risk"/>
    <n v="48"/>
    <n v="1"/>
    <n v="1000"/>
    <n v="4"/>
    <n v="1"/>
    <n v="1"/>
    <s v="411"/>
    <x v="0"/>
    <s v="Monthly"/>
  </r>
  <r>
    <s v="M043"/>
    <d v="2025-04-10T00:00:00"/>
    <d v="2025-05-10T00:00:00"/>
    <s v="Churn Risk"/>
    <n v="143"/>
    <n v="2"/>
    <n v="2000"/>
    <n v="1"/>
    <n v="2"/>
    <n v="2"/>
    <s v="122"/>
    <x v="1"/>
    <s v="Monthly"/>
  </r>
  <r>
    <s v="M044"/>
    <d v="2025-06-18T00:00:00"/>
    <d v="2025-09-16T00:00:00"/>
    <s v="Active"/>
    <n v="74"/>
    <n v="2"/>
    <n v="9000"/>
    <n v="3"/>
    <n v="2"/>
    <n v="5"/>
    <s v="325"/>
    <x v="1"/>
    <s v="3 Months"/>
  </r>
  <r>
    <s v="M045"/>
    <d v="2025-06-24T00:00:00"/>
    <d v="2025-07-24T00:00:00"/>
    <s v="Churn Risk"/>
    <n v="68"/>
    <n v="1"/>
    <n v="1000"/>
    <n v="3"/>
    <n v="1"/>
    <n v="1"/>
    <s v="311"/>
    <x v="1"/>
    <s v="Monthly"/>
  </r>
  <r>
    <s v="M046"/>
    <d v="2025-07-02T00:00:00"/>
    <d v="2025-09-30T00:00:00"/>
    <s v="Active"/>
    <n v="60"/>
    <n v="2"/>
    <n v="6000"/>
    <n v="4"/>
    <n v="2"/>
    <n v="5"/>
    <s v="425"/>
    <x v="0"/>
    <s v="3 Months"/>
  </r>
  <r>
    <s v="M047"/>
    <d v="2025-04-01T00:00:00"/>
    <d v="2025-06-30T00:00:00"/>
    <s v="Churn Risk"/>
    <n v="152"/>
    <n v="1"/>
    <n v="4000"/>
    <n v="1"/>
    <n v="1"/>
    <n v="4"/>
    <s v="114"/>
    <x v="1"/>
    <s v="3 Months"/>
  </r>
  <r>
    <s v="M048"/>
    <d v="2025-05-01T00:00:00"/>
    <d v="2025-07-30T00:00:00"/>
    <s v="Churn Risk"/>
    <n v="122"/>
    <n v="1"/>
    <n v="2400"/>
    <n v="1"/>
    <n v="1"/>
    <n v="2"/>
    <s v="112"/>
    <x v="1"/>
    <s v="3 Months"/>
  </r>
  <r>
    <s v="M049"/>
    <d v="2025-05-09T00:00:00"/>
    <d v="2025-06-08T00:00:00"/>
    <s v="Churn Risk"/>
    <n v="114"/>
    <n v="2"/>
    <n v="2000"/>
    <n v="2"/>
    <n v="2"/>
    <n v="2"/>
    <s v="222"/>
    <x v="1"/>
    <s v="Monthly"/>
  </r>
  <r>
    <s v="M050"/>
    <d v="2025-06-09T00:00:00"/>
    <d v="2025-07-09T00:00:00"/>
    <s v="Churn Risk"/>
    <n v="83"/>
    <n v="1"/>
    <n v="1000"/>
    <n v="3"/>
    <n v="1"/>
    <n v="1"/>
    <s v="311"/>
    <x v="1"/>
    <s v="Monthly"/>
  </r>
  <r>
    <s v="M051"/>
    <d v="2025-08-06T00:00:00"/>
    <d v="2025-09-05T00:00:00"/>
    <s v="Active"/>
    <n v="25"/>
    <n v="4"/>
    <n v="4400"/>
    <n v="5"/>
    <n v="4"/>
    <n v="4"/>
    <s v="544"/>
    <x v="2"/>
    <s v="Monthly"/>
  </r>
  <r>
    <s v="M052"/>
    <d v="2025-04-11T00:00:00"/>
    <d v="2025-07-10T00:00:00"/>
    <s v="Churn Risk"/>
    <n v="142"/>
    <n v="1"/>
    <n v="2400"/>
    <n v="1"/>
    <n v="1"/>
    <n v="2"/>
    <s v="112"/>
    <x v="1"/>
    <s v="3 Months"/>
  </r>
  <r>
    <s v="M053"/>
    <d v="2025-07-15T00:00:00"/>
    <d v="2025-08-14T00:00:00"/>
    <s v="At Risk"/>
    <n v="47"/>
    <n v="2"/>
    <n v="2000"/>
    <n v="4"/>
    <n v="2"/>
    <n v="2"/>
    <s v="422"/>
    <x v="0"/>
    <s v="Monthly"/>
  </r>
  <r>
    <s v="M054"/>
    <d v="2025-06-05T00:00:00"/>
    <d v="2025-07-05T00:00:00"/>
    <s v="Churn Risk"/>
    <n v="87"/>
    <n v="2"/>
    <n v="2000"/>
    <n v="3"/>
    <n v="2"/>
    <n v="2"/>
    <s v="322"/>
    <x v="1"/>
    <s v="Monthly"/>
  </r>
  <r>
    <s v="M055"/>
    <d v="2025-04-04T00:00:00"/>
    <d v="2025-05-04T00:00:00"/>
    <s v="Churn Risk"/>
    <n v="149"/>
    <n v="1"/>
    <n v="1000"/>
    <n v="1"/>
    <n v="1"/>
    <n v="1"/>
    <s v="111"/>
    <x v="1"/>
    <s v="Monthly"/>
  </r>
  <r>
    <s v="M056"/>
    <d v="2025-07-04T00:00:00"/>
    <d v="2025-10-02T00:00:00"/>
    <s v="Active"/>
    <n v="58"/>
    <n v="1"/>
    <n v="2400"/>
    <n v="4"/>
    <n v="1"/>
    <n v="2"/>
    <s v="412"/>
    <x v="0"/>
    <s v="3 Months"/>
  </r>
  <r>
    <s v="M057"/>
    <d v="2025-08-03T00:00:00"/>
    <d v="2025-09-02T00:00:00"/>
    <s v="Active"/>
    <n v="28"/>
    <n v="2"/>
    <n v="2000"/>
    <n v="5"/>
    <n v="2"/>
    <n v="2"/>
    <s v="522"/>
    <x v="0"/>
    <s v="Monthly"/>
  </r>
  <r>
    <s v="M058"/>
    <d v="2025-06-19T00:00:00"/>
    <d v="2025-09-17T00:00:00"/>
    <s v="Active"/>
    <n v="73"/>
    <n v="1"/>
    <n v="2400"/>
    <n v="3"/>
    <n v="1"/>
    <n v="2"/>
    <s v="312"/>
    <x v="1"/>
    <s v="3 Months"/>
  </r>
  <r>
    <s v="M059"/>
    <d v="2025-08-11T00:00:00"/>
    <d v="2025-09-10T00:00:00"/>
    <s v="Active"/>
    <n v="20"/>
    <n v="2"/>
    <n v="2000"/>
    <n v="5"/>
    <n v="2"/>
    <n v="2"/>
    <s v="522"/>
    <x v="0"/>
    <s v="Monthly"/>
  </r>
  <r>
    <s v="M060"/>
    <d v="2025-07-31T00:00:00"/>
    <d v="2025-08-30T00:00:00"/>
    <s v="At Risk"/>
    <n v="31"/>
    <n v="2"/>
    <n v="1500"/>
    <n v="4"/>
    <n v="2"/>
    <n v="1"/>
    <s v="421"/>
    <x v="0"/>
    <s v="Monthly"/>
  </r>
  <r>
    <s v="M061"/>
    <d v="2025-03-20T00:00:00"/>
    <d v="2025-04-19T00:00:00"/>
    <s v="Churn Risk"/>
    <n v="164"/>
    <n v="1"/>
    <n v="1000"/>
    <n v="1"/>
    <n v="1"/>
    <n v="1"/>
    <s v="111"/>
    <x v="1"/>
    <s v="Monthly"/>
  </r>
  <r>
    <s v="M062"/>
    <d v="2025-08-05T00:00:00"/>
    <d v="2025-11-03T00:00:00"/>
    <s v="Active"/>
    <n v="26"/>
    <n v="1"/>
    <n v="2400"/>
    <n v="5"/>
    <n v="1"/>
    <n v="2"/>
    <s v="512"/>
    <x v="0"/>
    <s v="3 Months"/>
  </r>
  <r>
    <s v="M063"/>
    <d v="2025-06-02T00:00:00"/>
    <d v="2025-07-02T00:00:00"/>
    <s v="Churn Risk"/>
    <n v="90"/>
    <n v="1"/>
    <n v="1000"/>
    <n v="3"/>
    <n v="1"/>
    <n v="1"/>
    <s v="311"/>
    <x v="1"/>
    <s v="Monthly"/>
  </r>
  <r>
    <s v="M064"/>
    <d v="2025-04-14T00:00:00"/>
    <d v="2025-05-14T00:00:00"/>
    <s v="Churn Risk"/>
    <n v="139"/>
    <n v="1"/>
    <n v="1000"/>
    <n v="1"/>
    <n v="1"/>
    <n v="1"/>
    <s v="111"/>
    <x v="1"/>
    <s v="Monthly"/>
  </r>
  <r>
    <s v="M065"/>
    <d v="2025-08-06T00:00:00"/>
    <d v="2025-09-05T00:00:00"/>
    <s v="Active"/>
    <n v="25"/>
    <n v="6"/>
    <n v="6000"/>
    <n v="5"/>
    <n v="5"/>
    <n v="5"/>
    <s v="555"/>
    <x v="2"/>
    <s v="Monthly"/>
  </r>
  <r>
    <s v="M066"/>
    <d v="2025-06-07T00:00:00"/>
    <d v="2025-09-05T00:00:00"/>
    <s v="Active"/>
    <n v="85"/>
    <n v="1"/>
    <n v="2400"/>
    <n v="3"/>
    <n v="1"/>
    <n v="2"/>
    <s v="312"/>
    <x v="1"/>
    <s v="3 Months"/>
  </r>
  <r>
    <s v="M067"/>
    <d v="2025-07-25T00:00:00"/>
    <d v="2025-08-24T00:00:00"/>
    <s v="At Risk"/>
    <n v="37"/>
    <n v="4"/>
    <n v="4000"/>
    <n v="4"/>
    <n v="4"/>
    <n v="4"/>
    <s v="444"/>
    <x v="2"/>
    <s v="Monthly"/>
  </r>
  <r>
    <s v="M068"/>
    <d v="2025-06-18T00:00:00"/>
    <d v="2025-07-18T00:00:00"/>
    <s v="Churn Risk"/>
    <n v="74"/>
    <n v="1"/>
    <n v="1000"/>
    <n v="3"/>
    <n v="1"/>
    <n v="1"/>
    <s v="311"/>
    <x v="1"/>
    <s v="Monthly"/>
  </r>
  <r>
    <s v="M069"/>
    <d v="2025-08-06T00:00:00"/>
    <d v="2025-09-05T00:00:00"/>
    <s v="Active"/>
    <n v="25"/>
    <n v="6"/>
    <n v="6000"/>
    <n v="5"/>
    <n v="5"/>
    <n v="5"/>
    <s v="555"/>
    <x v="2"/>
    <s v="Monthly"/>
  </r>
  <r>
    <s v="M070"/>
    <d v="2025-08-08T00:00:00"/>
    <d v="2025-11-06T00:00:00"/>
    <s v="Active"/>
    <n v="23"/>
    <n v="5"/>
    <n v="10000"/>
    <n v="5"/>
    <n v="5"/>
    <n v="5"/>
    <s v="555"/>
    <x v="2"/>
    <s v="3 Months"/>
  </r>
  <r>
    <s v="M071"/>
    <d v="2025-08-12T00:00:00"/>
    <d v="2025-09-11T00:00:00"/>
    <s v="Active"/>
    <n v="19"/>
    <n v="5"/>
    <n v="6000"/>
    <n v="5"/>
    <n v="5"/>
    <n v="5"/>
    <s v="555"/>
    <x v="2"/>
    <s v="Monthly"/>
  </r>
  <r>
    <s v="M072"/>
    <d v="2025-07-28T00:00:00"/>
    <d v="2025-08-27T00:00:00"/>
    <s v="At Risk"/>
    <n v="34"/>
    <n v="5"/>
    <n v="5000"/>
    <n v="4"/>
    <n v="5"/>
    <n v="5"/>
    <s v="455"/>
    <x v="2"/>
    <s v="Monthly"/>
  </r>
  <r>
    <s v="M073"/>
    <d v="2025-08-05T00:00:00"/>
    <d v="2025-09-04T00:00:00"/>
    <s v="Active"/>
    <n v="26"/>
    <n v="1"/>
    <n v="1000"/>
    <n v="5"/>
    <n v="1"/>
    <n v="1"/>
    <s v="511"/>
    <x v="0"/>
    <s v="Monthly"/>
  </r>
  <r>
    <s v="M074"/>
    <d v="2025-06-13T00:00:00"/>
    <d v="2025-07-13T00:00:00"/>
    <s v="Churn Risk"/>
    <n v="79"/>
    <n v="1"/>
    <n v="1000"/>
    <n v="3"/>
    <n v="1"/>
    <n v="1"/>
    <s v="311"/>
    <x v="1"/>
    <s v="Monthly"/>
  </r>
  <r>
    <s v="M075"/>
    <d v="2025-04-14T00:00:00"/>
    <d v="2026-04-14T00:00:00"/>
    <s v="Active"/>
    <n v="139"/>
    <n v="1"/>
    <n v="7200"/>
    <n v="1"/>
    <n v="1"/>
    <n v="5"/>
    <s v="115"/>
    <x v="1"/>
    <s v="Yearly"/>
  </r>
  <r>
    <s v="M076"/>
    <d v="2025-08-12T00:00:00"/>
    <d v="2025-11-10T00:00:00"/>
    <s v="Active"/>
    <n v="19"/>
    <n v="5"/>
    <n v="15000"/>
    <n v="5"/>
    <n v="5"/>
    <n v="5"/>
    <s v="555"/>
    <x v="2"/>
    <s v="3 Months"/>
  </r>
  <r>
    <s v="M077"/>
    <d v="2025-05-09T00:00:00"/>
    <d v="2025-08-07T00:00:00"/>
    <s v="At Risk"/>
    <n v="114"/>
    <n v="1"/>
    <n v="3000"/>
    <n v="2"/>
    <n v="1"/>
    <n v="3"/>
    <s v="213"/>
    <x v="1"/>
    <s v="3 Months"/>
  </r>
  <r>
    <s v="M078"/>
    <d v="2025-07-09T00:00:00"/>
    <d v="2025-08-08T00:00:00"/>
    <s v="At Risk"/>
    <n v="53"/>
    <n v="1"/>
    <n v="1500"/>
    <n v="4"/>
    <n v="1"/>
    <n v="1"/>
    <s v="411"/>
    <x v="0"/>
    <s v="Monthly"/>
  </r>
  <r>
    <s v="M079"/>
    <d v="2025-08-19T00:00:00"/>
    <d v="2025-11-17T00:00:00"/>
    <s v="Active"/>
    <n v="12"/>
    <n v="2"/>
    <n v="6000"/>
    <n v="5"/>
    <n v="2"/>
    <n v="5"/>
    <s v="525"/>
    <x v="0"/>
    <s v="3 Months"/>
  </r>
  <r>
    <s v="M080"/>
    <d v="2025-08-05T00:00:00"/>
    <d v="2025-09-04T00:00:00"/>
    <s v="Active"/>
    <n v="26"/>
    <n v="7"/>
    <n v="7000"/>
    <n v="5"/>
    <n v="5"/>
    <n v="5"/>
    <s v="555"/>
    <x v="2"/>
    <s v="Monthly"/>
  </r>
  <r>
    <s v="M081"/>
    <d v="2025-08-06T00:00:00"/>
    <d v="2025-09-05T00:00:00"/>
    <s v="Active"/>
    <n v="25"/>
    <n v="5"/>
    <n v="9800"/>
    <n v="5"/>
    <n v="5"/>
    <n v="5"/>
    <s v="555"/>
    <x v="2"/>
    <s v="Monthly"/>
  </r>
  <r>
    <s v="M082"/>
    <d v="2025-06-19T00:00:00"/>
    <d v="2025-07-19T00:00:00"/>
    <s v="Churn Risk"/>
    <n v="73"/>
    <n v="1"/>
    <n v="500"/>
    <n v="3"/>
    <n v="1"/>
    <n v="1"/>
    <s v="311"/>
    <x v="1"/>
    <s v="Monthly"/>
  </r>
  <r>
    <s v="M083"/>
    <d v="2025-04-14T00:00:00"/>
    <d v="2025-05-14T00:00:00"/>
    <s v="Churn Risk"/>
    <n v="139"/>
    <n v="2"/>
    <n v="1600"/>
    <n v="1"/>
    <n v="2"/>
    <n v="1"/>
    <s v="121"/>
    <x v="1"/>
    <s v="Monthly"/>
  </r>
  <r>
    <s v="M084"/>
    <d v="2025-08-05T00:00:00"/>
    <d v="2025-09-04T00:00:00"/>
    <s v="Active"/>
    <n v="26"/>
    <n v="4"/>
    <n v="4000"/>
    <n v="5"/>
    <n v="4"/>
    <n v="4"/>
    <s v="544"/>
    <x v="2"/>
    <s v="Monthly"/>
  </r>
  <r>
    <s v="M085"/>
    <d v="2025-05-23T00:00:00"/>
    <d v="2025-06-22T00:00:00"/>
    <s v="Churn Risk"/>
    <n v="100"/>
    <n v="1"/>
    <n v="1000"/>
    <n v="2"/>
    <n v="1"/>
    <n v="1"/>
    <s v="211"/>
    <x v="1"/>
    <s v="Monthly"/>
  </r>
  <r>
    <s v="M086"/>
    <d v="2025-08-14T00:00:00"/>
    <d v="2025-09-13T00:00:00"/>
    <s v="Active"/>
    <n v="17"/>
    <n v="3"/>
    <n v="3000"/>
    <n v="5"/>
    <n v="3"/>
    <n v="3"/>
    <s v="533"/>
    <x v="3"/>
    <s v="Monthly"/>
  </r>
  <r>
    <s v="M087"/>
    <d v="2025-08-06T00:00:00"/>
    <d v="2025-09-05T00:00:00"/>
    <s v="Active"/>
    <n v="25"/>
    <n v="1"/>
    <n v="1000"/>
    <n v="5"/>
    <n v="1"/>
    <n v="1"/>
    <s v="511"/>
    <x v="0"/>
    <s v="Monthly"/>
  </r>
  <r>
    <s v="M088"/>
    <d v="2025-06-04T00:00:00"/>
    <d v="2025-07-04T00:00:00"/>
    <s v="Churn Risk"/>
    <n v="88"/>
    <n v="1"/>
    <n v="1000"/>
    <n v="3"/>
    <n v="1"/>
    <n v="1"/>
    <s v="311"/>
    <x v="1"/>
    <s v="Monthly"/>
  </r>
  <r>
    <s v="M089"/>
    <d v="2025-06-13T00:00:00"/>
    <d v="2025-07-13T00:00:00"/>
    <s v="Churn Risk"/>
    <n v="79"/>
    <n v="1"/>
    <n v="1000"/>
    <n v="3"/>
    <n v="1"/>
    <n v="1"/>
    <s v="311"/>
    <x v="1"/>
    <s v="Monthly"/>
  </r>
  <r>
    <s v="M090"/>
    <d v="2025-06-13T00:00:00"/>
    <d v="2025-07-13T00:00:00"/>
    <s v="Churn Risk"/>
    <n v="79"/>
    <n v="1"/>
    <n v="1000"/>
    <n v="3"/>
    <n v="1"/>
    <n v="1"/>
    <s v="311"/>
    <x v="1"/>
    <s v="Monthly"/>
  </r>
  <r>
    <s v="M091"/>
    <d v="2025-07-31T00:00:00"/>
    <d v="2025-08-30T00:00:00"/>
    <s v="At Risk"/>
    <n v="31"/>
    <n v="2"/>
    <n v="2000"/>
    <n v="4"/>
    <n v="2"/>
    <n v="2"/>
    <s v="422"/>
    <x v="0"/>
    <s v="Monthly"/>
  </r>
  <r>
    <s v="M092"/>
    <d v="2025-05-12T00:00:00"/>
    <d v="2025-06-11T00:00:00"/>
    <s v="Churn Risk"/>
    <n v="111"/>
    <n v="1"/>
    <n v="1000"/>
    <n v="2"/>
    <n v="1"/>
    <n v="1"/>
    <s v="211"/>
    <x v="1"/>
    <s v="Monthly"/>
  </r>
  <r>
    <s v="M093"/>
    <d v="2025-04-14T00:00:00"/>
    <d v="2025-05-14T00:00:00"/>
    <s v="Churn Risk"/>
    <n v="139"/>
    <n v="2"/>
    <n v="2000"/>
    <n v="1"/>
    <n v="2"/>
    <n v="2"/>
    <s v="122"/>
    <x v="1"/>
    <s v="Monthly"/>
  </r>
  <r>
    <s v="M094"/>
    <d v="2025-06-09T00:00:00"/>
    <d v="2025-09-07T00:00:00"/>
    <s v="Active"/>
    <n v="83"/>
    <n v="2"/>
    <n v="4800"/>
    <n v="3"/>
    <n v="2"/>
    <n v="4"/>
    <s v="324"/>
    <x v="1"/>
    <s v="3 Months"/>
  </r>
  <r>
    <s v="M095"/>
    <d v="2025-07-07T00:00:00"/>
    <d v="2025-08-06T00:00:00"/>
    <s v="At Risk"/>
    <n v="55"/>
    <n v="1"/>
    <n v="1000"/>
    <n v="4"/>
    <n v="1"/>
    <n v="1"/>
    <s v="411"/>
    <x v="0"/>
    <s v="Monthly"/>
  </r>
  <r>
    <s v="M096"/>
    <d v="2025-03-04T00:00:00"/>
    <d v="2025-08-31T00:00:00"/>
    <s v="Active"/>
    <n v="180"/>
    <n v="1"/>
    <n v="4800"/>
    <n v="1"/>
    <n v="1"/>
    <n v="4"/>
    <s v="114"/>
    <x v="1"/>
    <s v="6 Months"/>
  </r>
  <r>
    <s v="M097"/>
    <d v="2025-04-28T00:00:00"/>
    <d v="2025-05-28T00:00:00"/>
    <s v="Churn Risk"/>
    <n v="125"/>
    <n v="1"/>
    <n v="1000"/>
    <n v="1"/>
    <n v="1"/>
    <n v="1"/>
    <s v="111"/>
    <x v="1"/>
    <s v="Monthly"/>
  </r>
  <r>
    <s v="M098"/>
    <d v="2025-08-14T00:00:00"/>
    <d v="2025-09-13T00:00:00"/>
    <s v="Active"/>
    <n v="17"/>
    <n v="2"/>
    <n v="4000"/>
    <n v="5"/>
    <n v="2"/>
    <n v="4"/>
    <s v="524"/>
    <x v="0"/>
    <s v="Monthly"/>
  </r>
  <r>
    <s v="M099"/>
    <d v="2025-07-21T00:00:00"/>
    <d v="2025-08-20T00:00:00"/>
    <s v="At Risk"/>
    <n v="41"/>
    <n v="1"/>
    <n v="1000"/>
    <n v="4"/>
    <n v="1"/>
    <n v="1"/>
    <s v="411"/>
    <x v="0"/>
    <s v="Monthly"/>
  </r>
  <r>
    <s v="M100"/>
    <d v="2025-06-21T00:00:00"/>
    <d v="2025-09-19T00:00:00"/>
    <s v="Active"/>
    <n v="71"/>
    <n v="3"/>
    <n v="6200"/>
    <n v="3"/>
    <n v="3"/>
    <n v="5"/>
    <s v="335"/>
    <x v="3"/>
    <s v="3 Months"/>
  </r>
  <r>
    <s v="M101"/>
    <d v="2025-07-14T00:00:00"/>
    <d v="2025-08-13T00:00:00"/>
    <s v="At Risk"/>
    <n v="48"/>
    <n v="2"/>
    <n v="2000"/>
    <n v="4"/>
    <n v="2"/>
    <n v="2"/>
    <s v="422"/>
    <x v="0"/>
    <s v="Monthly"/>
  </r>
  <r>
    <s v="M102"/>
    <d v="2025-07-29T00:00:00"/>
    <d v="2025-08-28T00:00:00"/>
    <s v="At Risk"/>
    <n v="33"/>
    <n v="3"/>
    <n v="2200"/>
    <n v="4"/>
    <n v="3"/>
    <n v="2"/>
    <s v="432"/>
    <x v="1"/>
    <s v="Monthly"/>
  </r>
  <r>
    <s v="M103"/>
    <d v="2025-04-06T00:00:00"/>
    <d v="2025-05-06T00:00:00"/>
    <s v="Churn Risk"/>
    <n v="147"/>
    <n v="1"/>
    <n v="1000"/>
    <n v="1"/>
    <n v="1"/>
    <n v="1"/>
    <s v="111"/>
    <x v="1"/>
    <s v="Monthly"/>
  </r>
  <r>
    <s v="M104"/>
    <d v="2025-08-06T00:00:00"/>
    <d v="2025-09-05T00:00:00"/>
    <s v="Active"/>
    <n v="25"/>
    <n v="1"/>
    <n v="1000"/>
    <n v="5"/>
    <n v="1"/>
    <n v="1"/>
    <s v="511"/>
    <x v="0"/>
    <s v="Monthly"/>
  </r>
  <r>
    <s v="M105"/>
    <d v="2025-03-06T00:00:00"/>
    <d v="2025-06-04T00:00:00"/>
    <s v="Churn Risk"/>
    <n v="178"/>
    <n v="1"/>
    <n v="4500"/>
    <n v="1"/>
    <n v="1"/>
    <n v="4"/>
    <s v="114"/>
    <x v="1"/>
    <s v="3 Months"/>
  </r>
  <r>
    <s v="M106"/>
    <d v="2025-07-12T00:00:00"/>
    <d v="2025-08-11T00:00:00"/>
    <s v="At Risk"/>
    <n v="50"/>
    <n v="2"/>
    <n v="2000"/>
    <n v="4"/>
    <n v="2"/>
    <n v="2"/>
    <s v="422"/>
    <x v="0"/>
    <s v="Monthly"/>
  </r>
  <r>
    <s v="M107"/>
    <d v="2025-03-25T00:00:00"/>
    <d v="2025-06-23T00:00:00"/>
    <s v="Churn Risk"/>
    <n v="159"/>
    <n v="1"/>
    <n v="4000"/>
    <n v="1"/>
    <n v="1"/>
    <n v="4"/>
    <s v="114"/>
    <x v="1"/>
    <s v="3 Months"/>
  </r>
  <r>
    <s v="M108"/>
    <d v="2025-07-04T00:00:00"/>
    <d v="2025-08-03T00:00:00"/>
    <s v="At Risk"/>
    <n v="58"/>
    <n v="5"/>
    <n v="5000"/>
    <n v="4"/>
    <n v="5"/>
    <n v="5"/>
    <s v="455"/>
    <x v="2"/>
    <s v="Monthly"/>
  </r>
  <r>
    <s v="M109"/>
    <d v="2025-06-24T00:00:00"/>
    <d v="2025-07-24T00:00:00"/>
    <s v="Churn Risk"/>
    <n v="68"/>
    <n v="1"/>
    <n v="800"/>
    <n v="3"/>
    <n v="1"/>
    <n v="1"/>
    <s v="311"/>
    <x v="1"/>
    <s v="Monthly"/>
  </r>
  <r>
    <s v="M110"/>
    <d v="2025-08-05T00:00:00"/>
    <d v="2025-09-04T00:00:00"/>
    <s v="Active"/>
    <n v="26"/>
    <n v="1"/>
    <n v="2000"/>
    <n v="5"/>
    <n v="1"/>
    <n v="2"/>
    <s v="512"/>
    <x v="0"/>
    <s v="Monthly"/>
  </r>
  <r>
    <s v="M111"/>
    <d v="2025-07-11T00:00:00"/>
    <d v="2025-08-10T00:00:00"/>
    <s v="At Risk"/>
    <n v="51"/>
    <n v="4"/>
    <n v="3200"/>
    <n v="4"/>
    <n v="4"/>
    <n v="3"/>
    <s v="443"/>
    <x v="3"/>
    <s v="Monthly"/>
  </r>
  <r>
    <s v="M112"/>
    <d v="2025-08-14T00:00:00"/>
    <d v="2025-09-13T00:00:00"/>
    <s v="Active"/>
    <n v="17"/>
    <n v="4"/>
    <n v="4000"/>
    <n v="5"/>
    <n v="4"/>
    <n v="4"/>
    <s v="544"/>
    <x v="2"/>
    <s v="Monthly"/>
  </r>
  <r>
    <s v="M113"/>
    <d v="2025-08-05T00:00:00"/>
    <d v="2025-09-04T00:00:00"/>
    <s v="Active"/>
    <n v="26"/>
    <n v="1"/>
    <n v="500"/>
    <n v="5"/>
    <n v="1"/>
    <n v="1"/>
    <s v="511"/>
    <x v="0"/>
    <s v="Monthly"/>
  </r>
  <r>
    <s v="M114"/>
    <d v="2025-04-11T00:00:00"/>
    <d v="2025-07-10T00:00:00"/>
    <s v="Churn Risk"/>
    <n v="142"/>
    <n v="1"/>
    <n v="2400"/>
    <n v="1"/>
    <n v="1"/>
    <n v="2"/>
    <s v="112"/>
    <x v="1"/>
    <s v="3 Months"/>
  </r>
  <r>
    <s v="M115"/>
    <d v="2025-05-12T00:00:00"/>
    <d v="2025-06-11T00:00:00"/>
    <s v="Churn Risk"/>
    <n v="111"/>
    <n v="2"/>
    <n v="3000"/>
    <n v="2"/>
    <n v="2"/>
    <n v="3"/>
    <s v="223"/>
    <x v="1"/>
    <s v="Monthly"/>
  </r>
  <r>
    <s v="M116"/>
    <d v="2025-04-14T00:00:00"/>
    <d v="2025-05-14T00:00:00"/>
    <s v="Churn Risk"/>
    <n v="139"/>
    <n v="1"/>
    <n v="1000"/>
    <n v="1"/>
    <n v="1"/>
    <n v="1"/>
    <s v="111"/>
    <x v="1"/>
    <s v="Monthly"/>
  </r>
  <r>
    <s v="M117"/>
    <d v="2025-08-18T00:00:00"/>
    <d v="2025-09-17T00:00:00"/>
    <s v="Active"/>
    <n v="13"/>
    <n v="6"/>
    <n v="6000"/>
    <n v="5"/>
    <n v="5"/>
    <n v="5"/>
    <s v="555"/>
    <x v="2"/>
    <s v="Monthly"/>
  </r>
  <r>
    <s v="M118"/>
    <d v="2025-07-21T00:00:00"/>
    <d v="2025-10-19T00:00:00"/>
    <s v="Active"/>
    <n v="41"/>
    <n v="1"/>
    <n v="2400"/>
    <n v="4"/>
    <n v="1"/>
    <n v="2"/>
    <s v="412"/>
    <x v="0"/>
    <s v="3 Months"/>
  </r>
  <r>
    <s v="M119"/>
    <d v="2025-08-12T00:00:00"/>
    <d v="2025-09-11T00:00:00"/>
    <s v="Active"/>
    <n v="19"/>
    <n v="1"/>
    <n v="1000"/>
    <n v="5"/>
    <n v="1"/>
    <n v="1"/>
    <s v="511"/>
    <x v="0"/>
    <s v="Monthly"/>
  </r>
  <r>
    <s v="M120"/>
    <d v="2025-05-26T00:00:00"/>
    <d v="2025-06-25T00:00:00"/>
    <s v="Churn Risk"/>
    <n v="97"/>
    <n v="1"/>
    <n v="1000"/>
    <n v="2"/>
    <n v="1"/>
    <n v="1"/>
    <s v="211"/>
    <x v="1"/>
    <s v="Monthly"/>
  </r>
  <r>
    <s v="M121"/>
    <d v="2025-05-28T00:00:00"/>
    <d v="2025-06-27T00:00:00"/>
    <s v="Churn Risk"/>
    <n v="95"/>
    <n v="2"/>
    <n v="1400"/>
    <n v="2"/>
    <n v="2"/>
    <n v="1"/>
    <s v="221"/>
    <x v="1"/>
    <s v="Monthly"/>
  </r>
  <r>
    <s v="M122"/>
    <d v="2025-08-04T00:00:00"/>
    <d v="2025-09-03T00:00:00"/>
    <s v="Active"/>
    <n v="27"/>
    <n v="1"/>
    <n v="1000"/>
    <n v="5"/>
    <n v="1"/>
    <n v="1"/>
    <s v="511"/>
    <x v="0"/>
    <s v="Monthly"/>
  </r>
  <r>
    <s v="M123"/>
    <d v="2025-06-25T00:00:00"/>
    <d v="2025-07-25T00:00:00"/>
    <s v="Churn Risk"/>
    <n v="67"/>
    <n v="1"/>
    <n v="2000"/>
    <n v="3"/>
    <n v="1"/>
    <n v="2"/>
    <s v="312"/>
    <x v="1"/>
    <s v="Monthly"/>
  </r>
  <r>
    <s v="M124"/>
    <d v="2025-03-13T00:00:00"/>
    <d v="2025-06-11T00:00:00"/>
    <s v="Churn Risk"/>
    <n v="171"/>
    <n v="1"/>
    <n v="4000"/>
    <n v="1"/>
    <n v="1"/>
    <n v="4"/>
    <s v="114"/>
    <x v="1"/>
    <s v="3 Months"/>
  </r>
  <r>
    <s v="M125"/>
    <d v="2025-08-01T00:00:00"/>
    <d v="2025-08-31T00:00:00"/>
    <s v="Active"/>
    <n v="30"/>
    <n v="2"/>
    <n v="2000"/>
    <n v="5"/>
    <n v="2"/>
    <n v="2"/>
    <s v="522"/>
    <x v="0"/>
    <s v="Monthly"/>
  </r>
  <r>
    <s v="M126"/>
    <d v="2025-07-29T00:00:00"/>
    <d v="2025-08-28T00:00:00"/>
    <s v="At Risk"/>
    <n v="33"/>
    <n v="3"/>
    <n v="4400"/>
    <n v="4"/>
    <n v="3"/>
    <n v="4"/>
    <s v="434"/>
    <x v="3"/>
    <s v="Monthly"/>
  </r>
  <r>
    <s v="M127"/>
    <d v="2025-04-19T00:00:00"/>
    <d v="2025-05-19T00:00:00"/>
    <s v="Churn Risk"/>
    <n v="134"/>
    <n v="2"/>
    <n v="2000"/>
    <n v="1"/>
    <n v="2"/>
    <n v="2"/>
    <s v="122"/>
    <x v="1"/>
    <s v="Monthly"/>
  </r>
  <r>
    <s v="M128"/>
    <d v="2025-05-08T00:00:00"/>
    <d v="2025-06-07T00:00:00"/>
    <s v="Churn Risk"/>
    <n v="115"/>
    <n v="1"/>
    <n v="1000"/>
    <n v="2"/>
    <n v="1"/>
    <n v="1"/>
    <s v="211"/>
    <x v="1"/>
    <s v="Monthly"/>
  </r>
  <r>
    <s v="M129"/>
    <d v="2025-07-01T00:00:00"/>
    <d v="2025-07-31T00:00:00"/>
    <s v="Churn Risk"/>
    <n v="61"/>
    <n v="4"/>
    <n v="4000"/>
    <n v="3"/>
    <n v="4"/>
    <n v="4"/>
    <s v="344"/>
    <x v="3"/>
    <s v="Monthly"/>
  </r>
  <r>
    <s v="M130"/>
    <d v="2025-04-14T00:00:00"/>
    <d v="2025-05-14T00:00:00"/>
    <s v="Churn Risk"/>
    <n v="139"/>
    <n v="1"/>
    <n v="1000"/>
    <n v="1"/>
    <n v="1"/>
    <n v="1"/>
    <s v="111"/>
    <x v="1"/>
    <s v="Monthly"/>
  </r>
  <r>
    <s v="M131"/>
    <d v="2025-08-11T00:00:00"/>
    <d v="2025-09-10T00:00:00"/>
    <s v="Active"/>
    <n v="20"/>
    <n v="1"/>
    <n v="1000"/>
    <n v="5"/>
    <n v="1"/>
    <n v="1"/>
    <s v="511"/>
    <x v="0"/>
    <s v="Monthly"/>
  </r>
  <r>
    <s v="M132"/>
    <d v="2025-08-05T00:00:00"/>
    <d v="2025-09-04T00:00:00"/>
    <s v="Active"/>
    <n v="26"/>
    <n v="2"/>
    <n v="1500"/>
    <n v="5"/>
    <n v="2"/>
    <n v="1"/>
    <s v="521"/>
    <x v="0"/>
    <s v="Monthly"/>
  </r>
  <r>
    <s v="M133"/>
    <d v="2025-07-07T00:00:00"/>
    <d v="2025-08-06T00:00:00"/>
    <s v="At Risk"/>
    <n v="55"/>
    <n v="1"/>
    <n v="1000"/>
    <n v="4"/>
    <n v="1"/>
    <n v="1"/>
    <s v="411"/>
    <x v="0"/>
    <s v="Monthly"/>
  </r>
  <r>
    <s v="M134"/>
    <d v="2025-08-11T00:00:00"/>
    <d v="2025-09-10T00:00:00"/>
    <s v="Active"/>
    <n v="20"/>
    <n v="2"/>
    <n v="2000"/>
    <n v="5"/>
    <n v="2"/>
    <n v="2"/>
    <s v="522"/>
    <x v="0"/>
    <s v="Monthly"/>
  </r>
  <r>
    <s v="M135"/>
    <d v="2025-07-21T00:00:00"/>
    <d v="2025-08-20T00:00:00"/>
    <s v="At Risk"/>
    <n v="41"/>
    <n v="1"/>
    <n v="1000"/>
    <n v="4"/>
    <n v="1"/>
    <n v="1"/>
    <s v="411"/>
    <x v="0"/>
    <s v="Monthly"/>
  </r>
  <r>
    <s v="M136"/>
    <d v="2025-08-19T00:00:00"/>
    <d v="2025-11-17T00:00:00"/>
    <s v="Active"/>
    <n v="12"/>
    <n v="1"/>
    <n v="2400"/>
    <n v="5"/>
    <n v="1"/>
    <n v="2"/>
    <s v="512"/>
    <x v="0"/>
    <s v="3 Months"/>
  </r>
  <r>
    <s v="M137"/>
    <d v="2025-05-19T00:00:00"/>
    <d v="2025-06-18T00:00:00"/>
    <s v="Churn Risk"/>
    <n v="104"/>
    <n v="2"/>
    <n v="1600"/>
    <n v="2"/>
    <n v="2"/>
    <n v="1"/>
    <s v="221"/>
    <x v="1"/>
    <s v="Monthly"/>
  </r>
  <r>
    <s v="M138"/>
    <d v="2025-06-23T00:00:00"/>
    <d v="2025-07-23T00:00:00"/>
    <s v="Churn Risk"/>
    <n v="69"/>
    <n v="2"/>
    <n v="2000"/>
    <n v="3"/>
    <n v="2"/>
    <n v="2"/>
    <s v="322"/>
    <x v="1"/>
    <s v="Monthly"/>
  </r>
  <r>
    <s v="M139"/>
    <d v="2025-06-05T00:00:00"/>
    <d v="2025-07-05T00:00:00"/>
    <s v="Churn Risk"/>
    <n v="87"/>
    <n v="2"/>
    <n v="3000"/>
    <n v="3"/>
    <n v="2"/>
    <n v="3"/>
    <s v="323"/>
    <x v="1"/>
    <s v="Monthly"/>
  </r>
  <r>
    <s v="M140"/>
    <d v="2025-03-13T00:00:00"/>
    <d v="2025-06-11T00:00:00"/>
    <s v="Churn Risk"/>
    <n v="171"/>
    <n v="1"/>
    <n v="4000"/>
    <n v="1"/>
    <n v="1"/>
    <n v="4"/>
    <s v="114"/>
    <x v="1"/>
    <s v="3 Months"/>
  </r>
  <r>
    <s v="M141"/>
    <d v="2025-04-10T00:00:00"/>
    <d v="2025-05-10T00:00:00"/>
    <s v="Churn Risk"/>
    <n v="143"/>
    <n v="1"/>
    <n v="1000"/>
    <n v="1"/>
    <n v="1"/>
    <n v="1"/>
    <s v="111"/>
    <x v="1"/>
    <s v="Monthly"/>
  </r>
  <r>
    <s v="M142"/>
    <d v="2025-08-11T00:00:00"/>
    <d v="2025-09-10T00:00:00"/>
    <s v="Active"/>
    <n v="20"/>
    <n v="1"/>
    <n v="1000"/>
    <n v="5"/>
    <n v="1"/>
    <n v="1"/>
    <s v="511"/>
    <x v="0"/>
    <s v="Monthly"/>
  </r>
  <r>
    <s v="M143"/>
    <d v="2025-07-01T00:00:00"/>
    <d v="2025-09-29T00:00:00"/>
    <s v="Active"/>
    <n v="61"/>
    <n v="1"/>
    <n v="4000"/>
    <n v="3"/>
    <n v="1"/>
    <n v="4"/>
    <s v="314"/>
    <x v="1"/>
    <s v="3 Months"/>
  </r>
  <r>
    <s v="M144"/>
    <d v="2025-04-18T00:00:00"/>
    <d v="2025-05-18T00:00:00"/>
    <s v="Churn Risk"/>
    <n v="135"/>
    <n v="1"/>
    <n v="1800"/>
    <n v="1"/>
    <n v="1"/>
    <n v="1"/>
    <s v="111"/>
    <x v="1"/>
    <s v="Monthly"/>
  </r>
  <r>
    <s v="M145"/>
    <d v="2025-04-11T00:00:00"/>
    <d v="2025-05-11T00:00:00"/>
    <s v="Churn Risk"/>
    <n v="142"/>
    <n v="2"/>
    <n v="2000"/>
    <n v="1"/>
    <n v="2"/>
    <n v="2"/>
    <s v="122"/>
    <x v="1"/>
    <s v="Monthly"/>
  </r>
  <r>
    <s v="M146"/>
    <d v="2025-06-17T00:00:00"/>
    <d v="2025-09-15T00:00:00"/>
    <s v="Active"/>
    <n v="75"/>
    <n v="2"/>
    <n v="9000"/>
    <n v="3"/>
    <n v="2"/>
    <n v="5"/>
    <s v="325"/>
    <x v="1"/>
    <s v="3 Months"/>
  </r>
  <r>
    <s v="M147"/>
    <d v="2025-07-05T00:00:00"/>
    <d v="2025-10-03T00:00:00"/>
    <s v="Active"/>
    <n v="57"/>
    <n v="1"/>
    <n v="3000"/>
    <n v="4"/>
    <n v="1"/>
    <n v="3"/>
    <s v="413"/>
    <x v="0"/>
    <s v="3 Months"/>
  </r>
  <r>
    <s v="M148"/>
    <d v="2025-08-01T00:00:00"/>
    <d v="2025-08-31T00:00:00"/>
    <s v="Active"/>
    <n v="30"/>
    <n v="4"/>
    <n v="4000"/>
    <n v="5"/>
    <n v="4"/>
    <n v="4"/>
    <s v="544"/>
    <x v="2"/>
    <s v="Monthly"/>
  </r>
  <r>
    <s v="M149"/>
    <d v="2025-06-09T00:00:00"/>
    <d v="2025-07-09T00:00:00"/>
    <s v="Churn Risk"/>
    <n v="83"/>
    <n v="1"/>
    <n v="1000"/>
    <n v="3"/>
    <n v="1"/>
    <n v="1"/>
    <s v="311"/>
    <x v="1"/>
    <s v="Monthly"/>
  </r>
  <r>
    <s v="M150"/>
    <d v="2025-07-01T00:00:00"/>
    <d v="2025-07-31T00:00:00"/>
    <s v="Churn Risk"/>
    <n v="61"/>
    <n v="1"/>
    <n v="1000"/>
    <n v="3"/>
    <n v="1"/>
    <n v="1"/>
    <s v="311"/>
    <x v="1"/>
    <s v="Monthly"/>
  </r>
  <r>
    <s v="M151"/>
    <d v="2025-07-01T00:00:00"/>
    <d v="2025-07-31T00:00:00"/>
    <s v="Churn Risk"/>
    <n v="61"/>
    <n v="1"/>
    <n v="1000"/>
    <n v="3"/>
    <n v="1"/>
    <n v="1"/>
    <s v="311"/>
    <x v="1"/>
    <s v="Monthly"/>
  </r>
  <r>
    <s v="M152"/>
    <d v="2025-03-29T00:00:00"/>
    <d v="2025-04-28T00:00:00"/>
    <s v="Churn Risk"/>
    <n v="155"/>
    <n v="1"/>
    <n v="1000"/>
    <n v="1"/>
    <n v="1"/>
    <n v="1"/>
    <s v="111"/>
    <x v="1"/>
    <s v="Monthly"/>
  </r>
  <r>
    <s v="M153"/>
    <d v="2025-08-02T00:00:00"/>
    <d v="2025-09-01T00:00:00"/>
    <s v="Active"/>
    <n v="29"/>
    <n v="1"/>
    <n v="1000"/>
    <n v="5"/>
    <n v="1"/>
    <n v="1"/>
    <s v="511"/>
    <x v="0"/>
    <s v="Monthly"/>
  </r>
  <r>
    <s v="M154"/>
    <d v="2025-04-04T00:00:00"/>
    <d v="2025-07-03T00:00:00"/>
    <s v="Churn Risk"/>
    <n v="149"/>
    <n v="1"/>
    <n v="2500"/>
    <n v="1"/>
    <n v="1"/>
    <n v="2"/>
    <s v="112"/>
    <x v="1"/>
    <s v="3 Months"/>
  </r>
  <r>
    <s v="M155"/>
    <d v="2025-06-02T00:00:00"/>
    <d v="2025-07-02T00:00:00"/>
    <s v="Churn Risk"/>
    <n v="90"/>
    <n v="1"/>
    <n v="1000"/>
    <n v="3"/>
    <n v="1"/>
    <n v="1"/>
    <s v="311"/>
    <x v="1"/>
    <s v="Monthly"/>
  </r>
  <r>
    <s v="M156"/>
    <d v="2025-08-14T00:00:00"/>
    <d v="2025-09-13T00:00:00"/>
    <s v="Active"/>
    <n v="17"/>
    <n v="4"/>
    <n v="4000"/>
    <n v="5"/>
    <n v="4"/>
    <n v="4"/>
    <s v="544"/>
    <x v="2"/>
    <s v="Monthly"/>
  </r>
  <r>
    <s v="M157"/>
    <d v="2025-07-17T00:00:00"/>
    <d v="2025-08-16T00:00:00"/>
    <s v="At Risk"/>
    <n v="45"/>
    <n v="1"/>
    <n v="2000"/>
    <n v="4"/>
    <n v="1"/>
    <n v="2"/>
    <s v="412"/>
    <x v="0"/>
    <s v="Monthly"/>
  </r>
  <r>
    <s v="M158"/>
    <d v="2025-06-11T00:00:00"/>
    <d v="2025-07-11T00:00:00"/>
    <s v="Churn Risk"/>
    <n v="81"/>
    <n v="1"/>
    <n v="1000"/>
    <n v="3"/>
    <n v="1"/>
    <n v="1"/>
    <s v="311"/>
    <x v="1"/>
    <s v="Monthly"/>
  </r>
  <r>
    <s v="M159"/>
    <d v="2025-07-14T00:00:00"/>
    <d v="2025-08-13T00:00:00"/>
    <s v="At Risk"/>
    <n v="48"/>
    <n v="1"/>
    <n v="1000"/>
    <n v="4"/>
    <n v="1"/>
    <n v="1"/>
    <s v="411"/>
    <x v="0"/>
    <s v="Monthly"/>
  </r>
  <r>
    <s v="M160"/>
    <d v="2025-08-18T00:00:00"/>
    <d v="2025-09-17T00:00:00"/>
    <s v="Active"/>
    <n v="13"/>
    <n v="1"/>
    <n v="1000"/>
    <n v="5"/>
    <n v="1"/>
    <n v="1"/>
    <s v="511"/>
    <x v="0"/>
    <s v="Monthly"/>
  </r>
  <r>
    <s v="M161"/>
    <d v="2025-07-01T00:00:00"/>
    <d v="2025-07-31T00:00:00"/>
    <s v="Churn Risk"/>
    <n v="61"/>
    <n v="1"/>
    <n v="1000"/>
    <n v="3"/>
    <n v="1"/>
    <n v="1"/>
    <s v="311"/>
    <x v="1"/>
    <s v="Monthly"/>
  </r>
  <r>
    <s v="M162"/>
    <d v="2025-07-01T00:00:00"/>
    <d v="2025-07-31T00:00:00"/>
    <s v="Churn Risk"/>
    <n v="61"/>
    <n v="1"/>
    <n v="1000"/>
    <n v="3"/>
    <n v="1"/>
    <n v="1"/>
    <s v="311"/>
    <x v="1"/>
    <s v="Monthly"/>
  </r>
  <r>
    <s v="M163"/>
    <d v="2025-08-04T00:00:00"/>
    <d v="2025-09-03T00:00:00"/>
    <s v="Active"/>
    <n v="27"/>
    <n v="1"/>
    <n v="1000"/>
    <n v="5"/>
    <n v="1"/>
    <n v="1"/>
    <s v="511"/>
    <x v="0"/>
    <s v="Monthly"/>
  </r>
  <r>
    <s v="M164"/>
    <d v="2025-05-01T00:00:00"/>
    <d v="2025-07-30T00:00:00"/>
    <s v="Churn Risk"/>
    <n v="122"/>
    <n v="1"/>
    <n v="4200"/>
    <n v="1"/>
    <n v="1"/>
    <n v="4"/>
    <s v="114"/>
    <x v="1"/>
    <s v="3 Months"/>
  </r>
  <r>
    <s v="M165"/>
    <d v="2025-07-11T00:00:00"/>
    <d v="2025-08-10T00:00:00"/>
    <s v="At Risk"/>
    <n v="51"/>
    <n v="2"/>
    <n v="2000"/>
    <n v="4"/>
    <n v="2"/>
    <n v="2"/>
    <s v="422"/>
    <x v="0"/>
    <s v="Monthly"/>
  </r>
  <r>
    <s v="M166"/>
    <d v="2025-07-03T00:00:00"/>
    <d v="2025-08-02T00:00:00"/>
    <s v="At Risk"/>
    <n v="59"/>
    <n v="1"/>
    <n v="1000"/>
    <n v="4"/>
    <n v="1"/>
    <n v="1"/>
    <s v="411"/>
    <x v="0"/>
    <s v="Monthly"/>
  </r>
  <r>
    <s v="M167"/>
    <d v="2025-07-28T00:00:00"/>
    <d v="2025-08-27T00:00:00"/>
    <s v="At Risk"/>
    <n v="34"/>
    <n v="1"/>
    <n v="1000"/>
    <n v="4"/>
    <n v="1"/>
    <n v="1"/>
    <s v="411"/>
    <x v="0"/>
    <s v="Monthly"/>
  </r>
  <r>
    <s v="M168"/>
    <d v="2025-08-11T00:00:00"/>
    <d v="2025-09-10T00:00:00"/>
    <s v="Active"/>
    <n v="20"/>
    <n v="1"/>
    <n v="1000"/>
    <n v="5"/>
    <n v="1"/>
    <n v="1"/>
    <s v="511"/>
    <x v="0"/>
    <s v="Monthly"/>
  </r>
  <r>
    <s v="M169"/>
    <d v="2025-03-17T00:00:00"/>
    <d v="2025-04-16T00:00:00"/>
    <s v="Churn Risk"/>
    <n v="167"/>
    <n v="1"/>
    <n v="1000"/>
    <n v="1"/>
    <n v="1"/>
    <n v="1"/>
    <s v="111"/>
    <x v="1"/>
    <s v="Monthly"/>
  </r>
  <r>
    <s v="M170"/>
    <d v="2025-08-19T00:00:00"/>
    <d v="2025-11-17T00:00:00"/>
    <s v="Active"/>
    <n v="12"/>
    <n v="2"/>
    <n v="4800"/>
    <n v="5"/>
    <n v="2"/>
    <n v="4"/>
    <s v="524"/>
    <x v="0"/>
    <s v="3 Months"/>
  </r>
  <r>
    <s v="M171"/>
    <d v="2025-06-23T00:00:00"/>
    <d v="2025-07-23T00:00:00"/>
    <s v="Churn Risk"/>
    <n v="69"/>
    <n v="1"/>
    <n v="1000"/>
    <n v="3"/>
    <n v="1"/>
    <n v="1"/>
    <s v="311"/>
    <x v="1"/>
    <s v="Monthly"/>
  </r>
  <r>
    <s v="M172"/>
    <d v="2025-07-11T00:00:00"/>
    <d v="2025-08-10T00:00:00"/>
    <s v="At Risk"/>
    <n v="51"/>
    <n v="2"/>
    <n v="2000"/>
    <n v="4"/>
    <n v="2"/>
    <n v="2"/>
    <s v="422"/>
    <x v="0"/>
    <s v="Monthly"/>
  </r>
  <r>
    <s v="M173"/>
    <d v="2025-06-10T00:00:00"/>
    <d v="2025-07-10T00:00:00"/>
    <s v="Churn Risk"/>
    <n v="82"/>
    <n v="1"/>
    <n v="1000"/>
    <n v="3"/>
    <n v="1"/>
    <n v="1"/>
    <s v="311"/>
    <x v="1"/>
    <s v="Monthly"/>
  </r>
  <r>
    <s v="M174"/>
    <d v="2025-08-18T00:00:00"/>
    <d v="2025-09-17T00:00:00"/>
    <s v="Active"/>
    <n v="13"/>
    <n v="2"/>
    <n v="2000"/>
    <n v="5"/>
    <n v="2"/>
    <n v="2"/>
    <s v="522"/>
    <x v="0"/>
    <s v="Monthly"/>
  </r>
  <r>
    <s v="M175"/>
    <d v="2025-05-07T00:00:00"/>
    <d v="2025-06-06T00:00:00"/>
    <s v="Churn Risk"/>
    <n v="116"/>
    <n v="1"/>
    <n v="1000"/>
    <n v="2"/>
    <n v="1"/>
    <n v="1"/>
    <s v="211"/>
    <x v="1"/>
    <s v="Monthly"/>
  </r>
  <r>
    <s v="M176"/>
    <d v="2025-05-06T00:00:00"/>
    <d v="2025-06-05T00:00:00"/>
    <s v="Churn Risk"/>
    <n v="117"/>
    <n v="2"/>
    <n v="2000"/>
    <n v="2"/>
    <n v="2"/>
    <n v="2"/>
    <s v="222"/>
    <x v="1"/>
    <s v="Monthly"/>
  </r>
  <r>
    <s v="M177"/>
    <d v="2025-08-18T00:00:00"/>
    <d v="2025-09-17T00:00:00"/>
    <s v="Active"/>
    <n v="13"/>
    <n v="5"/>
    <n v="4500"/>
    <n v="5"/>
    <n v="5"/>
    <n v="4"/>
    <s v="554"/>
    <x v="2"/>
    <s v="Monthly"/>
  </r>
  <r>
    <s v="M178"/>
    <d v="2025-06-07T00:00:00"/>
    <d v="2025-07-07T00:00:00"/>
    <s v="Churn Risk"/>
    <n v="85"/>
    <n v="1"/>
    <n v="1000"/>
    <n v="3"/>
    <n v="1"/>
    <n v="1"/>
    <s v="311"/>
    <x v="1"/>
    <s v="Monthly"/>
  </r>
  <r>
    <s v="M179"/>
    <d v="2025-04-10T00:00:00"/>
    <d v="2025-05-10T00:00:00"/>
    <s v="Churn Risk"/>
    <n v="143"/>
    <n v="1"/>
    <n v="1000"/>
    <n v="1"/>
    <n v="1"/>
    <n v="1"/>
    <s v="111"/>
    <x v="1"/>
    <s v="Monthly"/>
  </r>
  <r>
    <s v="M180"/>
    <d v="2025-07-03T00:00:00"/>
    <d v="2025-08-02T00:00:00"/>
    <s v="At Risk"/>
    <n v="59"/>
    <n v="3"/>
    <n v="3000"/>
    <n v="4"/>
    <n v="3"/>
    <n v="3"/>
    <s v="433"/>
    <x v="3"/>
    <s v="Monthly"/>
  </r>
  <r>
    <s v="M181"/>
    <d v="2025-04-16T00:00:00"/>
    <d v="2025-05-16T00:00:00"/>
    <s v="Churn Risk"/>
    <n v="137"/>
    <n v="1"/>
    <n v="1000"/>
    <n v="1"/>
    <n v="1"/>
    <n v="1"/>
    <s v="111"/>
    <x v="1"/>
    <s v="Monthly"/>
  </r>
  <r>
    <s v="M182"/>
    <d v="2025-06-09T00:00:00"/>
    <d v="2025-07-09T00:00:00"/>
    <s v="Churn Risk"/>
    <n v="83"/>
    <n v="3"/>
    <n v="3000"/>
    <n v="3"/>
    <n v="3"/>
    <n v="3"/>
    <s v="333"/>
    <x v="3"/>
    <s v="Monthly"/>
  </r>
  <r>
    <s v="M183"/>
    <d v="2025-04-22T00:00:00"/>
    <d v="2025-05-22T00:00:00"/>
    <s v="Churn Risk"/>
    <n v="131"/>
    <n v="1"/>
    <n v="1000"/>
    <n v="1"/>
    <n v="1"/>
    <n v="1"/>
    <s v="111"/>
    <x v="1"/>
    <s v="Monthly"/>
  </r>
  <r>
    <s v="M184"/>
    <d v="2025-06-07T00:00:00"/>
    <d v="2025-07-07T00:00:00"/>
    <s v="Churn Risk"/>
    <n v="85"/>
    <n v="2"/>
    <n v="2500"/>
    <n v="3"/>
    <n v="2"/>
    <n v="2"/>
    <s v="322"/>
    <x v="1"/>
    <s v="Monthly"/>
  </r>
  <r>
    <s v="M185"/>
    <d v="2025-08-18T00:00:00"/>
    <d v="2025-09-17T00:00:00"/>
    <s v="Active"/>
    <n v="13"/>
    <n v="1"/>
    <n v="1000"/>
    <n v="5"/>
    <n v="1"/>
    <n v="1"/>
    <s v="511"/>
    <x v="0"/>
    <s v="Monthly"/>
  </r>
  <r>
    <s v="M186"/>
    <d v="2025-04-16T00:00:00"/>
    <d v="2025-05-16T00:00:00"/>
    <s v="Churn Risk"/>
    <n v="137"/>
    <n v="1"/>
    <n v="1000"/>
    <n v="1"/>
    <n v="1"/>
    <n v="1"/>
    <s v="111"/>
    <x v="1"/>
    <s v="Monthly"/>
  </r>
  <r>
    <s v="M187"/>
    <d v="2025-07-05T00:00:00"/>
    <d v="2025-10-03T00:00:00"/>
    <s v="Active"/>
    <n v="57"/>
    <n v="3"/>
    <n v="4800"/>
    <n v="4"/>
    <n v="3"/>
    <n v="4"/>
    <s v="434"/>
    <x v="3"/>
    <s v="3 Months"/>
  </r>
  <r>
    <s v="M188"/>
    <d v="2025-08-05T00:00:00"/>
    <d v="2025-11-03T00:00:00"/>
    <s v="Active"/>
    <n v="26"/>
    <n v="1"/>
    <n v="2400"/>
    <n v="5"/>
    <n v="1"/>
    <n v="2"/>
    <s v="512"/>
    <x v="0"/>
    <s v="3 Months"/>
  </r>
  <r>
    <s v="M189"/>
    <d v="2025-03-24T00:00:00"/>
    <d v="2025-06-22T00:00:00"/>
    <s v="Churn Risk"/>
    <n v="160"/>
    <n v="1"/>
    <n v="2400"/>
    <n v="1"/>
    <n v="1"/>
    <n v="2"/>
    <s v="112"/>
    <x v="1"/>
    <s v="3 Months"/>
  </r>
  <r>
    <s v="M190"/>
    <d v="2025-07-02T00:00:00"/>
    <d v="2025-08-01T00:00:00"/>
    <s v="At Risk"/>
    <n v="60"/>
    <n v="2"/>
    <n v="2000"/>
    <n v="4"/>
    <n v="2"/>
    <n v="2"/>
    <s v="422"/>
    <x v="0"/>
    <s v="Monthly"/>
  </r>
  <r>
    <s v="M191"/>
    <d v="2025-04-11T00:00:00"/>
    <d v="2025-05-11T00:00:00"/>
    <s v="Churn Risk"/>
    <n v="142"/>
    <n v="2"/>
    <n v="2000"/>
    <n v="1"/>
    <n v="2"/>
    <n v="2"/>
    <s v="122"/>
    <x v="1"/>
    <s v="Monthly"/>
  </r>
  <r>
    <s v="M192"/>
    <d v="2025-04-12T00:00:00"/>
    <d v="2025-10-09T00:00:00"/>
    <s v="Active"/>
    <n v="141"/>
    <n v="1"/>
    <n v="7000"/>
    <n v="1"/>
    <n v="1"/>
    <n v="5"/>
    <s v="115"/>
    <x v="1"/>
    <s v="6 Months"/>
  </r>
  <r>
    <s v="M193"/>
    <d v="2025-05-05T00:00:00"/>
    <d v="2025-08-03T00:00:00"/>
    <s v="At Risk"/>
    <n v="118"/>
    <n v="1"/>
    <n v="2400"/>
    <n v="2"/>
    <n v="1"/>
    <n v="2"/>
    <s v="212"/>
    <x v="1"/>
    <s v="3 Months"/>
  </r>
  <r>
    <s v="M194"/>
    <d v="2025-04-01T00:00:00"/>
    <d v="2025-05-01T00:00:00"/>
    <s v="Churn Risk"/>
    <n v="152"/>
    <n v="1"/>
    <n v="1000"/>
    <n v="1"/>
    <n v="1"/>
    <n v="1"/>
    <s v="111"/>
    <x v="1"/>
    <s v="Monthly"/>
  </r>
  <r>
    <s v="M195"/>
    <d v="2025-07-24T00:00:00"/>
    <d v="2025-08-23T00:00:00"/>
    <s v="At Risk"/>
    <n v="38"/>
    <n v="1"/>
    <n v="800"/>
    <n v="4"/>
    <n v="1"/>
    <n v="1"/>
    <s v="411"/>
    <x v="0"/>
    <s v="Monthly"/>
  </r>
  <r>
    <s v="M196"/>
    <d v="2025-07-04T00:00:00"/>
    <d v="2025-08-03T00:00:00"/>
    <s v="At Risk"/>
    <n v="58"/>
    <n v="1"/>
    <n v="1000"/>
    <n v="4"/>
    <n v="1"/>
    <n v="1"/>
    <s v="411"/>
    <x v="0"/>
    <s v="Monthly"/>
  </r>
  <r>
    <s v="M197"/>
    <d v="2025-08-07T00:00:00"/>
    <d v="2025-09-06T00:00:00"/>
    <s v="Active"/>
    <n v="24"/>
    <n v="5"/>
    <n v="5000"/>
    <n v="5"/>
    <n v="5"/>
    <n v="5"/>
    <s v="555"/>
    <x v="2"/>
    <s v="Monthly"/>
  </r>
  <r>
    <s v="M198"/>
    <d v="2025-08-06T00:00:00"/>
    <d v="2025-09-05T00:00:00"/>
    <s v="Active"/>
    <n v="25"/>
    <n v="4"/>
    <n v="4000"/>
    <n v="5"/>
    <n v="4"/>
    <n v="4"/>
    <s v="544"/>
    <x v="2"/>
    <s v="Monthly"/>
  </r>
  <r>
    <s v="M199"/>
    <d v="2025-05-02T00:00:00"/>
    <d v="2025-06-01T00:00:00"/>
    <s v="Churn Risk"/>
    <n v="121"/>
    <n v="1"/>
    <n v="1000"/>
    <n v="1"/>
    <n v="1"/>
    <n v="1"/>
    <s v="111"/>
    <x v="1"/>
    <s v="Monthly"/>
  </r>
  <r>
    <s v="M200"/>
    <d v="2025-05-19T00:00:00"/>
    <d v="2025-06-18T00:00:00"/>
    <s v="Churn Risk"/>
    <n v="104"/>
    <n v="2"/>
    <n v="2000"/>
    <n v="2"/>
    <n v="2"/>
    <n v="2"/>
    <s v="222"/>
    <x v="1"/>
    <s v="Monthly"/>
  </r>
  <r>
    <s v="M201"/>
    <d v="2025-06-03T00:00:00"/>
    <d v="2025-07-03T00:00:00"/>
    <s v="Churn Risk"/>
    <n v="89"/>
    <n v="1"/>
    <n v="1000"/>
    <n v="3"/>
    <n v="1"/>
    <n v="1"/>
    <s v="311"/>
    <x v="1"/>
    <s v="Monthl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0000"/>
    <n v="20000"/>
    <n v="12000"/>
    <n v="62000"/>
    <n v="80300"/>
    <n v="18300"/>
  </r>
  <r>
    <x v="1"/>
    <n v="30000"/>
    <n v="20000"/>
    <n v="12000"/>
    <n v="62000"/>
    <n v="112200"/>
    <n v="50200"/>
  </r>
  <r>
    <x v="2"/>
    <n v="30000"/>
    <n v="20000"/>
    <n v="12000"/>
    <n v="62000"/>
    <n v="66200"/>
    <n v="4200"/>
  </r>
  <r>
    <x v="3"/>
    <n v="30000"/>
    <n v="20000"/>
    <n v="12000"/>
    <n v="62000"/>
    <n v="89300"/>
    <n v="27300"/>
  </r>
  <r>
    <x v="4"/>
    <n v="30000"/>
    <n v="20000"/>
    <n v="12000"/>
    <n v="62000"/>
    <n v="96200"/>
    <n v="34200"/>
  </r>
  <r>
    <x v="5"/>
    <n v="30000"/>
    <n v="20000"/>
    <n v="12000"/>
    <n v="62000"/>
    <n v="69600"/>
    <n v="76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n v="1"/>
    <d v="2025-07-04T00:00:00"/>
    <s v="M001"/>
    <s v="Aayush Paul"/>
    <n v="1000"/>
    <s v="Monthly"/>
    <s v="Cash"/>
    <x v="0"/>
    <d v="2025-07-01T00:00:00"/>
    <d v="2025-08-03T00:00:00"/>
    <s v="At Risk"/>
  </r>
  <r>
    <n v="2"/>
    <d v="2025-08-06T00:00:00"/>
    <s v="M002"/>
    <s v="Abdul Azir"/>
    <n v="1000"/>
    <s v="Monthly"/>
    <s v="Cash"/>
    <x v="0"/>
    <d v="2025-08-01T00:00:00"/>
    <d v="2025-09-05T00:00:00"/>
    <s v="Active"/>
  </r>
  <r>
    <n v="3"/>
    <d v="2025-07-07T00:00:00"/>
    <s v="M002"/>
    <s v="Abdul Azir"/>
    <n v="1000"/>
    <s v="Monthly"/>
    <s v="Google Pay"/>
    <x v="0"/>
    <d v="2025-07-01T00:00:00"/>
    <d v="2025-08-06T00:00:00"/>
    <s v="At Risk"/>
  </r>
  <r>
    <n v="4"/>
    <d v="2025-07-25T00:00:00"/>
    <s v="M003"/>
    <s v="Abhijit Karmakar"/>
    <n v="4000"/>
    <s v="3 Months"/>
    <s v="Google Pay"/>
    <x v="0"/>
    <d v="2025-07-01T00:00:00"/>
    <d v="2025-10-23T00:00:00"/>
    <s v="Active"/>
  </r>
  <r>
    <n v="5"/>
    <d v="2025-03-06T00:00:00"/>
    <s v="M004"/>
    <s v="Abhijit Saha Bhowmik"/>
    <n v="1000"/>
    <s v="Monthly"/>
    <s v="Google Pay"/>
    <x v="0"/>
    <d v="2025-03-01T00:00:00"/>
    <d v="2025-04-05T00:00:00"/>
    <s v="Churn Risk"/>
  </r>
  <r>
    <n v="6"/>
    <d v="2025-04-12T00:00:00"/>
    <s v="M004"/>
    <s v="Abhijit Saha Bhowmik"/>
    <n v="1000"/>
    <s v="Monthly"/>
    <s v="Google Pay"/>
    <x v="0"/>
    <d v="2025-04-01T00:00:00"/>
    <d v="2025-05-12T00:00:00"/>
    <s v="Churn Risk"/>
  </r>
  <r>
    <n v="7"/>
    <d v="2025-05-09T00:00:00"/>
    <s v="M005"/>
    <s v="Aditya Kumar Sinha"/>
    <n v="1000"/>
    <s v="Monthly"/>
    <s v="Cash"/>
    <x v="0"/>
    <d v="2025-05-01T00:00:00"/>
    <d v="2025-06-08T00:00:00"/>
    <s v="Churn Risk"/>
  </r>
  <r>
    <n v="8"/>
    <d v="2025-04-04T00:00:00"/>
    <s v="M006"/>
    <s v="Aishwarika Debnath"/>
    <n v="1500"/>
    <s v="Monthly"/>
    <s v="Cash"/>
    <x v="0"/>
    <d v="2025-04-01T00:00:00"/>
    <d v="2025-05-04T00:00:00"/>
    <s v="Churn Risk"/>
  </r>
  <r>
    <n v="9"/>
    <d v="2025-08-14T00:00:00"/>
    <s v="M006"/>
    <s v="Aishwarika Debnath"/>
    <n v="1000"/>
    <s v="Monthly"/>
    <s v="Cash"/>
    <x v="0"/>
    <d v="2025-08-01T00:00:00"/>
    <d v="2025-09-13T00:00:00"/>
    <s v="Active"/>
  </r>
  <r>
    <n v="10"/>
    <d v="2025-08-06T00:00:00"/>
    <s v="M007"/>
    <s v="Akash Nandi"/>
    <n v="1000"/>
    <s v="Monthly"/>
    <s v="Cash"/>
    <x v="0"/>
    <d v="2025-08-01T00:00:00"/>
    <d v="2025-09-05T00:00:00"/>
    <s v="Active"/>
  </r>
  <r>
    <n v="11"/>
    <d v="2025-06-07T00:00:00"/>
    <s v="M008"/>
    <s v="Aman Paul"/>
    <n v="1000"/>
    <s v="Monthly"/>
    <s v="Google Pay"/>
    <x v="0"/>
    <d v="2025-06-01T00:00:00"/>
    <d v="2025-07-07T00:00:00"/>
    <s v="Churn Risk"/>
  </r>
  <r>
    <n v="12"/>
    <d v="2025-07-07T00:00:00"/>
    <s v="M008"/>
    <s v="Aman Paul"/>
    <n v="1000"/>
    <s v="Monthly"/>
    <s v="Google Pay"/>
    <x v="0"/>
    <d v="2025-07-01T00:00:00"/>
    <d v="2025-08-06T00:00:00"/>
    <s v="At Risk"/>
  </r>
  <r>
    <n v="13"/>
    <d v="2025-08-18T00:00:00"/>
    <s v="M008"/>
    <s v="Aman Paul"/>
    <n v="1000"/>
    <s v="Monthly"/>
    <s v="Google Pay"/>
    <x v="0"/>
    <d v="2025-08-01T00:00:00"/>
    <d v="2025-09-17T00:00:00"/>
    <s v="Active"/>
  </r>
  <r>
    <n v="14"/>
    <d v="2025-04-29T00:00:00"/>
    <s v="M008"/>
    <s v="Aman Paul"/>
    <n v="1000"/>
    <s v="Monthly"/>
    <s v="Google Pay"/>
    <x v="0"/>
    <d v="2025-04-01T00:00:00"/>
    <d v="2025-05-29T00:00:00"/>
    <s v="Churn Risk"/>
  </r>
  <r>
    <n v="15"/>
    <d v="2025-08-05T00:00:00"/>
    <s v="M009"/>
    <s v="Ambarish Mahalambish"/>
    <n v="1000"/>
    <s v="Monthly"/>
    <s v="Google Pay"/>
    <x v="0"/>
    <d v="2025-08-01T00:00:00"/>
    <d v="2025-09-04T00:00:00"/>
    <s v="Active"/>
  </r>
  <r>
    <n v="16"/>
    <d v="2025-06-02T00:00:00"/>
    <s v="M010"/>
    <s v="Anal Sharma"/>
    <n v="2400"/>
    <s v="3 Months"/>
    <s v="Google Pay"/>
    <x v="0"/>
    <d v="2025-06-01T00:00:00"/>
    <d v="2025-08-31T00:00:00"/>
    <s v="Active"/>
  </r>
  <r>
    <n v="17"/>
    <d v="2025-05-02T00:00:00"/>
    <s v="M010"/>
    <s v="Anal Sharma"/>
    <n v="1000"/>
    <s v="Monthly"/>
    <s v="Cash"/>
    <x v="0"/>
    <d v="2025-05-01T00:00:00"/>
    <d v="2025-06-01T00:00:00"/>
    <s v="Churn Risk"/>
  </r>
  <r>
    <n v="18"/>
    <d v="2025-04-05T00:00:00"/>
    <s v="M010"/>
    <s v="Anal Sharma"/>
    <n v="1000"/>
    <s v="Monthly"/>
    <s v="Google Pay"/>
    <x v="0"/>
    <d v="2025-04-01T00:00:00"/>
    <d v="2025-05-05T00:00:00"/>
    <s v="Churn Risk"/>
  </r>
  <r>
    <n v="19"/>
    <d v="2025-03-06T00:00:00"/>
    <s v="M010"/>
    <s v="Anal Sharma"/>
    <n v="1000"/>
    <s v="Monthly"/>
    <s v="Google Pay"/>
    <x v="0"/>
    <d v="2025-03-01T00:00:00"/>
    <d v="2025-04-05T00:00:00"/>
    <s v="Churn Risk"/>
  </r>
  <r>
    <n v="20"/>
    <d v="2025-05-06T00:00:00"/>
    <s v="M011"/>
    <s v="Anamika Rupini"/>
    <n v="1000"/>
    <s v="Monthly"/>
    <s v="Google Pay"/>
    <x v="0"/>
    <d v="2025-05-01T00:00:00"/>
    <d v="2025-06-05T00:00:00"/>
    <s v="Churn Risk"/>
  </r>
  <r>
    <n v="21"/>
    <d v="2025-06-04T00:00:00"/>
    <s v="M011"/>
    <s v="Anamika Rupini"/>
    <n v="1000"/>
    <s v="Monthly"/>
    <s v="Google Pay"/>
    <x v="0"/>
    <d v="2025-06-01T00:00:00"/>
    <d v="2025-07-04T00:00:00"/>
    <s v="Churn Risk"/>
  </r>
  <r>
    <n v="22"/>
    <d v="2025-03-18T00:00:00"/>
    <s v="M011"/>
    <s v="Anamika Rupini"/>
    <n v="1000"/>
    <s v="Monthly"/>
    <s v="Google Pay"/>
    <x v="0"/>
    <d v="2025-03-01T00:00:00"/>
    <d v="2025-04-17T00:00:00"/>
    <s v="Churn Risk"/>
  </r>
  <r>
    <n v="23"/>
    <d v="2025-07-14T00:00:00"/>
    <s v="M011"/>
    <s v="Anamika Rupini"/>
    <n v="1000"/>
    <s v="Monthly"/>
    <s v="Google Pay"/>
    <x v="0"/>
    <d v="2025-07-01T00:00:00"/>
    <d v="2025-08-13T00:00:00"/>
    <s v="At Risk"/>
  </r>
  <r>
    <n v="24"/>
    <d v="2025-08-06T00:00:00"/>
    <s v="M012"/>
    <s v="Anamika Sharma"/>
    <n v="1000"/>
    <s v="Monthly"/>
    <s v="Google Pay"/>
    <x v="0"/>
    <d v="2025-08-01T00:00:00"/>
    <d v="2025-09-05T00:00:00"/>
    <s v="Active"/>
  </r>
  <r>
    <n v="25"/>
    <d v="2025-04-11T00:00:00"/>
    <s v="M013"/>
    <s v="Aniket Lodh"/>
    <n v="2400"/>
    <s v="3 Months"/>
    <s v="Google Pay"/>
    <x v="0"/>
    <d v="2025-04-01T00:00:00"/>
    <d v="2025-07-10T00:00:00"/>
    <s v="Churn Risk"/>
  </r>
  <r>
    <n v="26"/>
    <d v="2025-03-11T00:00:00"/>
    <s v="M014"/>
    <s v="Aniket Sinha"/>
    <n v="1000"/>
    <s v="Monthly"/>
    <s v="Cash"/>
    <x v="0"/>
    <d v="2025-03-01T00:00:00"/>
    <d v="2025-04-10T00:00:00"/>
    <s v="Churn Risk"/>
  </r>
  <r>
    <n v="27"/>
    <d v="2025-05-19T00:00:00"/>
    <s v="M014"/>
    <s v="Aniket Sinha"/>
    <n v="1000"/>
    <s v="Monthly"/>
    <s v="Cash"/>
    <x v="0"/>
    <d v="2025-05-01T00:00:00"/>
    <d v="2025-06-18T00:00:00"/>
    <s v="Churn Risk"/>
  </r>
  <r>
    <n v="28"/>
    <d v="2025-04-16T00:00:00"/>
    <s v="M014"/>
    <s v="Aniket Sinha"/>
    <n v="1000"/>
    <s v="Monthly"/>
    <s v="Cash"/>
    <x v="0"/>
    <d v="2025-04-01T00:00:00"/>
    <d v="2025-05-16T00:00:00"/>
    <s v="Churn Risk"/>
  </r>
  <r>
    <n v="29"/>
    <d v="2025-07-18T00:00:00"/>
    <s v="M014"/>
    <s v="Aniket Sinha"/>
    <n v="1000"/>
    <s v="Monthly"/>
    <s v="Google Pay"/>
    <x v="0"/>
    <d v="2025-07-01T00:00:00"/>
    <d v="2025-08-17T00:00:00"/>
    <s v="At Risk"/>
  </r>
  <r>
    <n v="30"/>
    <d v="2025-06-30T00:00:00"/>
    <s v="M014"/>
    <s v="Aniket Sinha"/>
    <n v="1000"/>
    <s v="Monthly"/>
    <s v="Cash"/>
    <x v="0"/>
    <d v="2025-06-01T00:00:00"/>
    <d v="2025-07-30T00:00:00"/>
    <s v="Churn Risk"/>
  </r>
  <r>
    <n v="31"/>
    <d v="2025-05-16T00:00:00"/>
    <s v="M015"/>
    <s v="Aninda Podder"/>
    <n v="1000"/>
    <s v="Monthly"/>
    <s v="Google Pay"/>
    <x v="0"/>
    <d v="2025-05-01T00:00:00"/>
    <d v="2025-06-15T00:00:00"/>
    <s v="Churn Risk"/>
  </r>
  <r>
    <n v="32"/>
    <d v="2025-04-16T00:00:00"/>
    <s v="M015"/>
    <s v="Aninda Podder"/>
    <n v="1000"/>
    <s v="Monthly"/>
    <s v="Cash"/>
    <x v="0"/>
    <d v="2025-04-01T00:00:00"/>
    <d v="2025-05-16T00:00:00"/>
    <s v="Churn Risk"/>
  </r>
  <r>
    <n v="33"/>
    <d v="2025-03-13T00:00:00"/>
    <s v="M016"/>
    <s v="Ankit Das"/>
    <n v="1000"/>
    <s v="Monthly"/>
    <s v="Cash"/>
    <x v="0"/>
    <d v="2025-03-01T00:00:00"/>
    <d v="2025-04-12T00:00:00"/>
    <s v="Churn Risk"/>
  </r>
  <r>
    <n v="34"/>
    <d v="2025-04-18T00:00:00"/>
    <s v="M016"/>
    <s v="Ankit Das"/>
    <n v="1000"/>
    <s v="Monthly"/>
    <s v="Google Pay"/>
    <x v="0"/>
    <d v="2025-04-01T00:00:00"/>
    <d v="2025-05-18T00:00:00"/>
    <s v="Churn Risk"/>
  </r>
  <r>
    <n v="35"/>
    <d v="2025-05-09T00:00:00"/>
    <s v="M017"/>
    <s v="Antra Bhattacharjee"/>
    <n v="2400"/>
    <s v="3 Months"/>
    <s v="Cash"/>
    <x v="0"/>
    <d v="2025-05-01T00:00:00"/>
    <d v="2025-08-07T00:00:00"/>
    <s v="At Risk"/>
  </r>
  <r>
    <n v="36"/>
    <d v="2025-08-06T00:00:00"/>
    <s v="M018"/>
    <s v="Anukul Das "/>
    <n v="2000"/>
    <s v="Monthly"/>
    <s v="Cash"/>
    <x v="1"/>
    <d v="2025-08-01T00:00:00"/>
    <d v="2025-09-05T00:00:00"/>
    <s v="Active"/>
  </r>
  <r>
    <n v="37"/>
    <d v="2025-07-17T00:00:00"/>
    <s v="M019"/>
    <s v="Apurba Ghosh"/>
    <n v="1000"/>
    <s v="Monthly"/>
    <s v="Cash"/>
    <x v="0"/>
    <d v="2025-07-01T00:00:00"/>
    <d v="2025-08-16T00:00:00"/>
    <s v="At Risk"/>
  </r>
  <r>
    <n v="38"/>
    <d v="2025-07-22T00:00:00"/>
    <s v="M019"/>
    <s v="Apurba Ghosh"/>
    <n v="1000"/>
    <s v="Monthly"/>
    <s v="Cash"/>
    <x v="0"/>
    <d v="2025-07-01T00:00:00"/>
    <d v="2025-08-21T00:00:00"/>
    <s v="At Risk"/>
  </r>
  <r>
    <n v="39"/>
    <d v="2025-04-25T00:00:00"/>
    <s v="M019"/>
    <s v="Apurba Ghosh"/>
    <n v="1000"/>
    <s v="Monthly"/>
    <s v="Google Pay"/>
    <x v="0"/>
    <d v="2025-04-01T00:00:00"/>
    <d v="2025-05-25T00:00:00"/>
    <s v="Churn Risk"/>
  </r>
  <r>
    <n v="40"/>
    <d v="2025-04-01T00:00:00"/>
    <s v="M020"/>
    <s v="Apurba Sarkar"/>
    <n v="700"/>
    <s v="Monthly"/>
    <s v="Google Pay"/>
    <x v="0"/>
    <d v="2025-04-01T00:00:00"/>
    <d v="2025-05-01T00:00:00"/>
    <s v="Churn Risk"/>
  </r>
  <r>
    <n v="41"/>
    <d v="2025-05-19T00:00:00"/>
    <s v="M020"/>
    <s v="Apurba Sarkar"/>
    <n v="700"/>
    <s v="Monthly"/>
    <s v="Google Pay"/>
    <x v="0"/>
    <d v="2025-05-01T00:00:00"/>
    <d v="2025-06-18T00:00:00"/>
    <s v="Churn Risk"/>
  </r>
  <r>
    <n v="42"/>
    <d v="2025-07-23T00:00:00"/>
    <s v="M021"/>
    <s v="Arghadeep Dhar"/>
    <n v="1000"/>
    <s v="Monthly"/>
    <s v="Cash"/>
    <x v="0"/>
    <d v="2025-07-01T00:00:00"/>
    <d v="2025-08-22T00:00:00"/>
    <s v="At Risk"/>
  </r>
  <r>
    <n v="43"/>
    <d v="2025-04-14T00:00:00"/>
    <s v="M022"/>
    <s v="Arghajeet Das"/>
    <n v="2400"/>
    <s v="3 Months"/>
    <s v="Google Pay"/>
    <x v="0"/>
    <d v="2025-04-01T00:00:00"/>
    <d v="2025-07-13T00:00:00"/>
    <s v="Churn Risk"/>
  </r>
  <r>
    <n v="44"/>
    <d v="2025-03-18T00:00:00"/>
    <s v="M023"/>
    <s v="Arindam Ghosh"/>
    <n v="1000"/>
    <s v="Monthly"/>
    <s v="Google Pay"/>
    <x v="0"/>
    <d v="2025-03-01T00:00:00"/>
    <d v="2025-04-17T00:00:00"/>
    <s v="Churn Risk"/>
  </r>
  <r>
    <n v="45"/>
    <d v="2025-03-10T00:00:00"/>
    <s v="M024"/>
    <s v="Arkyajit Bhattacharjee"/>
    <n v="1000"/>
    <s v="Monthly"/>
    <s v="Google Pay"/>
    <x v="0"/>
    <d v="2025-03-01T00:00:00"/>
    <d v="2025-04-09T00:00:00"/>
    <s v="Churn Risk"/>
  </r>
  <r>
    <n v="46"/>
    <d v="2025-04-14T00:00:00"/>
    <s v="M024"/>
    <s v="Arkyajit Bhattacharjee"/>
    <n v="1000"/>
    <s v="Monthly"/>
    <s v="Cash"/>
    <x v="0"/>
    <d v="2025-04-01T00:00:00"/>
    <d v="2025-05-14T00:00:00"/>
    <s v="Churn Risk"/>
  </r>
  <r>
    <n v="47"/>
    <d v="2025-07-16T00:00:00"/>
    <s v="M024"/>
    <s v="Arkyajit Bhattacharjee"/>
    <n v="1000"/>
    <s v="Monthly"/>
    <s v="Cash"/>
    <x v="0"/>
    <d v="2025-07-01T00:00:00"/>
    <d v="2025-08-15T00:00:00"/>
    <s v="At Risk"/>
  </r>
  <r>
    <n v="48"/>
    <d v="2025-04-07T00:00:00"/>
    <s v="M025"/>
    <s v="Ashish Laskar"/>
    <n v="4200"/>
    <s v="3 Months"/>
    <s v="Google Pay"/>
    <x v="0"/>
    <d v="2025-04-01T00:00:00"/>
    <d v="2025-07-06T00:00:00"/>
    <s v="Churn Risk"/>
  </r>
  <r>
    <n v="49"/>
    <d v="2025-05-15T00:00:00"/>
    <s v="M026"/>
    <s v="Ashit Karmakar"/>
    <n v="1000"/>
    <s v="Monthly"/>
    <s v="Google Pay"/>
    <x v="0"/>
    <d v="2025-05-01T00:00:00"/>
    <d v="2025-06-14T00:00:00"/>
    <s v="Churn Risk"/>
  </r>
  <r>
    <n v="50"/>
    <d v="2025-05-12T00:00:00"/>
    <s v="M027"/>
    <s v="Ashwarika Debnath"/>
    <n v="1000"/>
    <s v="Monthly"/>
    <s v="Cash"/>
    <x v="0"/>
    <d v="2025-05-01T00:00:00"/>
    <d v="2025-06-11T00:00:00"/>
    <s v="Churn Risk"/>
  </r>
  <r>
    <n v="51"/>
    <d v="2025-07-01T00:00:00"/>
    <s v="M028"/>
    <s v="Ayushi Acharjee"/>
    <n v="1000"/>
    <s v="Monthly"/>
    <s v="Google Pay"/>
    <x v="0"/>
    <d v="2025-07-01T00:00:00"/>
    <d v="2025-07-31T00:00:00"/>
    <s v="Churn Risk"/>
  </r>
  <r>
    <n v="52"/>
    <d v="2025-04-12T00:00:00"/>
    <s v="M028"/>
    <s v="Ayushi Acharjee"/>
    <n v="1000"/>
    <s v="Monthly"/>
    <s v="Google Pay"/>
    <x v="0"/>
    <d v="2025-04-01T00:00:00"/>
    <d v="2025-05-12T00:00:00"/>
    <s v="Churn Risk"/>
  </r>
  <r>
    <n v="53"/>
    <d v="2025-03-10T00:00:00"/>
    <s v="M028"/>
    <s v="Ayushi Acharjee"/>
    <n v="1000"/>
    <s v="Monthly"/>
    <s v="Google Pay"/>
    <x v="0"/>
    <d v="2025-03-01T00:00:00"/>
    <d v="2025-04-09T00:00:00"/>
    <s v="Churn Risk"/>
  </r>
  <r>
    <n v="54"/>
    <d v="2025-05-14T00:00:00"/>
    <s v="M028"/>
    <s v="Ayushi Acharjee"/>
    <n v="1000"/>
    <s v="Monthly"/>
    <s v="Google Pay"/>
    <x v="0"/>
    <d v="2025-05-01T00:00:00"/>
    <d v="2025-06-13T00:00:00"/>
    <s v="Churn Risk"/>
  </r>
  <r>
    <n v="55"/>
    <d v="2025-04-01T00:00:00"/>
    <s v="M029"/>
    <s v="Banti Das"/>
    <n v="4000"/>
    <s v="3 Months"/>
    <s v="Cash"/>
    <x v="0"/>
    <d v="2025-04-01T00:00:00"/>
    <d v="2025-06-30T00:00:00"/>
    <s v="Churn Risk"/>
  </r>
  <r>
    <n v="56"/>
    <d v="2025-06-03T00:00:00"/>
    <s v="M030"/>
    <s v="Barun Sharma"/>
    <n v="1000"/>
    <s v="Monthly"/>
    <s v="Cash"/>
    <x v="0"/>
    <d v="2025-06-01T00:00:00"/>
    <d v="2025-07-03T00:00:00"/>
    <s v="Churn Risk"/>
  </r>
  <r>
    <n v="57"/>
    <d v="2025-08-05T00:00:00"/>
    <s v="M030"/>
    <s v="Barun Sharma"/>
    <n v="1000"/>
    <s v="Monthly"/>
    <s v="Cash"/>
    <x v="0"/>
    <d v="2025-08-01T00:00:00"/>
    <d v="2025-09-04T00:00:00"/>
    <s v="Active"/>
  </r>
  <r>
    <n v="58"/>
    <d v="2025-04-11T00:00:00"/>
    <s v="M030"/>
    <s v="Barun Sharma"/>
    <n v="1000"/>
    <s v="Monthly"/>
    <s v="Cash"/>
    <x v="0"/>
    <d v="2025-04-01T00:00:00"/>
    <d v="2025-05-11T00:00:00"/>
    <s v="Churn Risk"/>
  </r>
  <r>
    <n v="59"/>
    <d v="2025-05-09T00:00:00"/>
    <s v="M030"/>
    <s v="Barun Sharma"/>
    <n v="1000"/>
    <s v="Monthly"/>
    <s v="Cash"/>
    <x v="0"/>
    <d v="2025-05-01T00:00:00"/>
    <d v="2025-06-08T00:00:00"/>
    <s v="Churn Risk"/>
  </r>
  <r>
    <n v="60"/>
    <d v="2025-03-10T00:00:00"/>
    <s v="M030"/>
    <s v="Barun Sharma"/>
    <n v="1000"/>
    <s v="Monthly"/>
    <s v="Cash"/>
    <x v="0"/>
    <d v="2025-03-01T00:00:00"/>
    <d v="2025-04-09T00:00:00"/>
    <s v="Churn Risk"/>
  </r>
  <r>
    <n v="61"/>
    <d v="2025-07-10T00:00:00"/>
    <s v="M030"/>
    <s v="Barun Sharma"/>
    <n v="1000"/>
    <s v="Monthly"/>
    <s v="Cash"/>
    <x v="0"/>
    <d v="2025-07-01T00:00:00"/>
    <d v="2025-08-09T00:00:00"/>
    <s v="At Risk"/>
  </r>
  <r>
    <n v="62"/>
    <d v="2025-03-04T00:00:00"/>
    <s v="M031"/>
    <s v="Basuraj Bhattacharjee"/>
    <n v="1000"/>
    <s v="Monthly"/>
    <s v="Google Pay"/>
    <x v="0"/>
    <d v="2025-03-01T00:00:00"/>
    <d v="2025-04-03T00:00:00"/>
    <s v="Churn Risk"/>
  </r>
  <r>
    <n v="63"/>
    <d v="2025-04-05T00:00:00"/>
    <s v="M031"/>
    <s v="Basuraj Bhattacharjee"/>
    <n v="1000"/>
    <s v="Monthly"/>
    <s v="Google Pay"/>
    <x v="0"/>
    <d v="2025-04-01T00:00:00"/>
    <d v="2025-05-05T00:00:00"/>
    <s v="Churn Risk"/>
  </r>
  <r>
    <n v="64"/>
    <d v="2025-07-04T00:00:00"/>
    <s v="M031"/>
    <s v="Basuraj Bhattacharjee"/>
    <n v="1000"/>
    <s v="Monthly"/>
    <s v="Google Pay"/>
    <x v="0"/>
    <d v="2025-07-01T00:00:00"/>
    <d v="2025-08-03T00:00:00"/>
    <s v="At Risk"/>
  </r>
  <r>
    <n v="65"/>
    <d v="2025-06-18T00:00:00"/>
    <s v="M031"/>
    <s v="Basuraj Bhattacharjee"/>
    <n v="1000"/>
    <s v="Monthly"/>
    <s v="Google Pay"/>
    <x v="0"/>
    <d v="2025-06-01T00:00:00"/>
    <d v="2025-07-18T00:00:00"/>
    <s v="Churn Risk"/>
  </r>
  <r>
    <n v="66"/>
    <d v="2025-03-07T00:00:00"/>
    <s v="M032"/>
    <s v="Bipati Bhusan Roy"/>
    <n v="1000"/>
    <s v="Monthly"/>
    <s v="Cash"/>
    <x v="0"/>
    <d v="2025-03-01T00:00:00"/>
    <d v="2025-04-06T00:00:00"/>
    <s v="Churn Risk"/>
  </r>
  <r>
    <n v="67"/>
    <d v="2025-05-08T00:00:00"/>
    <s v="M032"/>
    <s v="Bipati Bhusan Roy"/>
    <n v="1000"/>
    <s v="Monthly"/>
    <s v="Cash"/>
    <x v="0"/>
    <d v="2025-05-01T00:00:00"/>
    <d v="2025-06-07T00:00:00"/>
    <s v="Churn Risk"/>
  </r>
  <r>
    <n v="68"/>
    <d v="2025-08-06T00:00:00"/>
    <s v="M032"/>
    <s v="Bipati Bhusan Roy"/>
    <n v="1000"/>
    <s v="Monthly"/>
    <s v="Cash"/>
    <x v="0"/>
    <d v="2025-08-01T00:00:00"/>
    <d v="2025-09-05T00:00:00"/>
    <s v="Active"/>
  </r>
  <r>
    <n v="69"/>
    <d v="2025-07-09T00:00:00"/>
    <s v="M032"/>
    <s v="Bipati Bhusan Roy"/>
    <n v="1000"/>
    <s v="Monthly"/>
    <s v="Google Pay"/>
    <x v="0"/>
    <d v="2025-07-01T00:00:00"/>
    <d v="2025-08-08T00:00:00"/>
    <s v="At Risk"/>
  </r>
  <r>
    <n v="70"/>
    <d v="2025-04-10T00:00:00"/>
    <s v="M032"/>
    <s v="Bipati Bhusan Roy"/>
    <n v="1000"/>
    <s v="Monthly"/>
    <s v="Cash"/>
    <x v="0"/>
    <d v="2025-04-01T00:00:00"/>
    <d v="2025-05-10T00:00:00"/>
    <s v="Churn Risk"/>
  </r>
  <r>
    <n v="71"/>
    <d v="2025-06-16T00:00:00"/>
    <s v="M032"/>
    <s v="Bipati Bhusan Roy"/>
    <n v="1000"/>
    <s v="Monthly"/>
    <s v="Google Pay"/>
    <x v="0"/>
    <d v="2025-06-01T00:00:00"/>
    <d v="2025-07-16T00:00:00"/>
    <s v="Churn Risk"/>
  </r>
  <r>
    <n v="72"/>
    <d v="2025-04-11T00:00:00"/>
    <s v="M033"/>
    <s v="Bishal Roy"/>
    <n v="1000"/>
    <s v="Monthly"/>
    <s v="Cash"/>
    <x v="0"/>
    <d v="2025-04-01T00:00:00"/>
    <d v="2025-05-11T00:00:00"/>
    <s v="Churn Risk"/>
  </r>
  <r>
    <n v="73"/>
    <d v="2025-08-05T00:00:00"/>
    <s v="M034"/>
    <s v="Biswajit Das"/>
    <n v="1000"/>
    <s v="Monthly"/>
    <s v="Cash"/>
    <x v="0"/>
    <d v="2025-08-01T00:00:00"/>
    <d v="2025-09-04T00:00:00"/>
    <s v="Active"/>
  </r>
  <r>
    <n v="74"/>
    <d v="2025-07-30T00:00:00"/>
    <s v="M035"/>
    <s v="Blered Miya"/>
    <n v="1000"/>
    <s v="Monthly"/>
    <s v="Cash"/>
    <x v="0"/>
    <d v="2025-07-01T00:00:00"/>
    <d v="2025-08-29T00:00:00"/>
    <s v="At Risk"/>
  </r>
  <r>
    <n v="75"/>
    <d v="2025-06-16T00:00:00"/>
    <s v="M036"/>
    <s v="Chandraj Das"/>
    <n v="1000"/>
    <s v="Monthly"/>
    <s v="Google Pay"/>
    <x v="0"/>
    <d v="2025-06-01T00:00:00"/>
    <d v="2025-07-16T00:00:00"/>
    <s v="Churn Risk"/>
  </r>
  <r>
    <n v="76"/>
    <d v="2025-05-09T00:00:00"/>
    <s v="M037"/>
    <s v="Daipayan Debnath"/>
    <n v="1000"/>
    <s v="Monthly"/>
    <s v="Google Pay"/>
    <x v="0"/>
    <d v="2025-05-01T00:00:00"/>
    <d v="2025-06-08T00:00:00"/>
    <s v="Churn Risk"/>
  </r>
  <r>
    <n v="77"/>
    <d v="2025-07-10T00:00:00"/>
    <s v="M037"/>
    <s v="Daipayan Debnath"/>
    <n v="1000"/>
    <s v="Monthly"/>
    <s v="Google Pay"/>
    <x v="0"/>
    <d v="2025-07-01T00:00:00"/>
    <d v="2025-08-09T00:00:00"/>
    <s v="At Risk"/>
  </r>
  <r>
    <n v="78"/>
    <d v="2025-08-13T00:00:00"/>
    <s v="M037"/>
    <s v="Daipayan Debnath"/>
    <n v="1000"/>
    <s v="Monthly"/>
    <s v="Cash"/>
    <x v="0"/>
    <d v="2025-08-01T00:00:00"/>
    <d v="2025-09-12T00:00:00"/>
    <s v="Active"/>
  </r>
  <r>
    <n v="79"/>
    <d v="2025-06-16T00:00:00"/>
    <s v="M037"/>
    <s v="Daipayan Debnath"/>
    <n v="1000"/>
    <s v="Monthly"/>
    <s v="Cash"/>
    <x v="0"/>
    <d v="2025-06-01T00:00:00"/>
    <d v="2025-07-16T00:00:00"/>
    <s v="Churn Risk"/>
  </r>
  <r>
    <n v="80"/>
    <d v="2025-03-10T00:00:00"/>
    <s v="M038"/>
    <s v="Daipayan Paul"/>
    <n v="1000"/>
    <s v="Monthly"/>
    <s v="Cash"/>
    <x v="0"/>
    <d v="2025-03-01T00:00:00"/>
    <d v="2025-04-09T00:00:00"/>
    <s v="Churn Risk"/>
  </r>
  <r>
    <n v="81"/>
    <d v="2025-05-19T00:00:00"/>
    <s v="M038"/>
    <s v="Daipayan Paul"/>
    <n v="1000"/>
    <s v="Monthly"/>
    <s v="Cash"/>
    <x v="0"/>
    <d v="2025-05-01T00:00:00"/>
    <d v="2025-06-18T00:00:00"/>
    <s v="Churn Risk"/>
  </r>
  <r>
    <n v="82"/>
    <d v="2025-07-15T00:00:00"/>
    <s v="M038"/>
    <s v="Daipayan Paul"/>
    <n v="2000"/>
    <s v="Monthly"/>
    <s v="Cash"/>
    <x v="1"/>
    <d v="2025-07-01T00:00:00"/>
    <d v="2025-08-14T00:00:00"/>
    <s v="At Risk"/>
  </r>
  <r>
    <n v="83"/>
    <d v="2025-06-03T00:00:00"/>
    <s v="M039"/>
    <s v="Dayal Debnath"/>
    <n v="3000"/>
    <s v="3 Months"/>
    <s v="Google Pay"/>
    <x v="1"/>
    <d v="2025-06-01T00:00:00"/>
    <d v="2025-09-01T00:00:00"/>
    <s v="Active"/>
  </r>
  <r>
    <n v="84"/>
    <d v="2025-05-08T00:00:00"/>
    <s v="M040"/>
    <s v="Debashish Choudhury"/>
    <n v="1000"/>
    <s v="Monthly"/>
    <s v="Google Pay"/>
    <x v="0"/>
    <d v="2025-05-01T00:00:00"/>
    <d v="2025-06-07T00:00:00"/>
    <s v="Churn Risk"/>
  </r>
  <r>
    <n v="85"/>
    <d v="2025-04-10T00:00:00"/>
    <s v="M040"/>
    <s v="Debashish Choudhury"/>
    <n v="1000"/>
    <s v="Monthly"/>
    <s v="Google Pay"/>
    <x v="0"/>
    <d v="2025-04-01T00:00:00"/>
    <d v="2025-05-10T00:00:00"/>
    <s v="Churn Risk"/>
  </r>
  <r>
    <n v="86"/>
    <d v="2025-08-05T00:00:00"/>
    <s v="M041"/>
    <s v="Debasish Ghosh"/>
    <n v="1000"/>
    <s v="Monthly"/>
    <s v="Google Pay"/>
    <x v="0"/>
    <d v="2025-08-01T00:00:00"/>
    <d v="2025-09-04T00:00:00"/>
    <s v="Active"/>
  </r>
  <r>
    <n v="87"/>
    <d v="2025-07-14T00:00:00"/>
    <s v="M042"/>
    <s v="Deep Saha"/>
    <n v="1000"/>
    <s v="Monthly"/>
    <s v="Google Pay"/>
    <x v="0"/>
    <d v="2025-07-01T00:00:00"/>
    <d v="2025-08-13T00:00:00"/>
    <s v="At Risk"/>
  </r>
  <r>
    <n v="88"/>
    <d v="2025-03-01T00:00:00"/>
    <s v="M043"/>
    <s v="Deepjyoti Ghosh"/>
    <n v="1000"/>
    <s v="Monthly"/>
    <s v="Cash"/>
    <x v="0"/>
    <d v="2025-03-01T00:00:00"/>
    <d v="2025-03-31T00:00:00"/>
    <s v="Churn Risk"/>
  </r>
  <r>
    <n v="89"/>
    <d v="2025-04-10T00:00:00"/>
    <s v="M043"/>
    <s v="Deepjyoti Ghosh"/>
    <n v="1000"/>
    <s v="Monthly"/>
    <s v="Google Pay"/>
    <x v="0"/>
    <d v="2025-04-01T00:00:00"/>
    <d v="2025-05-10T00:00:00"/>
    <s v="Churn Risk"/>
  </r>
  <r>
    <n v="90"/>
    <d v="2025-03-04T00:00:00"/>
    <s v="M044"/>
    <s v="Diksha Chaudhury"/>
    <n v="4800"/>
    <s v="6 Months"/>
    <s v="Cash"/>
    <x v="0"/>
    <d v="2025-03-01T00:00:00"/>
    <d v="2025-08-31T00:00:00"/>
    <s v="Active"/>
  </r>
  <r>
    <n v="91"/>
    <d v="2025-06-18T00:00:00"/>
    <s v="M044"/>
    <s v="Diksha Chaudhury"/>
    <n v="4200"/>
    <s v="3 Months"/>
    <s v="Cash"/>
    <x v="0"/>
    <d v="2025-06-01T00:00:00"/>
    <d v="2025-09-16T00:00:00"/>
    <s v="Active"/>
  </r>
  <r>
    <n v="92"/>
    <d v="2025-06-24T00:00:00"/>
    <s v="M045"/>
    <s v="Dipayan Paul"/>
    <n v="1000"/>
    <s v="Monthly"/>
    <s v="Cash"/>
    <x v="0"/>
    <d v="2025-06-01T00:00:00"/>
    <d v="2025-07-24T00:00:00"/>
    <s v="Churn Risk"/>
  </r>
  <r>
    <n v="93"/>
    <d v="2025-07-02T00:00:00"/>
    <s v="M046"/>
    <s v="Disha Malakar"/>
    <n v="3000"/>
    <s v="3 Months"/>
    <s v="Cash"/>
    <x v="1"/>
    <d v="2025-07-01T00:00:00"/>
    <d v="2025-09-30T00:00:00"/>
    <s v="Active"/>
  </r>
  <r>
    <n v="94"/>
    <d v="2025-06-06T00:00:00"/>
    <s v="M046"/>
    <s v="Disha Malakar"/>
    <n v="3000"/>
    <s v="3 Months"/>
    <s v="Cash"/>
    <x v="1"/>
    <d v="2025-06-01T00:00:00"/>
    <d v="2025-09-04T00:00:00"/>
    <s v="Active"/>
  </r>
  <r>
    <n v="95"/>
    <d v="2025-04-01T00:00:00"/>
    <s v="M047"/>
    <s v="Doyel Banik"/>
    <n v="4000"/>
    <s v="3 Months"/>
    <s v="Cash"/>
    <x v="0"/>
    <d v="2025-04-01T00:00:00"/>
    <d v="2025-06-30T00:00:00"/>
    <s v="Churn Risk"/>
  </r>
  <r>
    <n v="96"/>
    <d v="2025-05-01T00:00:00"/>
    <s v="M048"/>
    <s v="Dr. Piyali Das"/>
    <n v="2400"/>
    <s v="3 Months"/>
    <s v="Cash"/>
    <x v="0"/>
    <d v="2025-05-01T00:00:00"/>
    <d v="2025-07-30T00:00:00"/>
    <s v="Churn Risk"/>
  </r>
  <r>
    <n v="97"/>
    <d v="2025-05-09T00:00:00"/>
    <s v="M049"/>
    <s v="Enoush Debbarma"/>
    <n v="1000"/>
    <s v="Monthly"/>
    <s v="Google Pay"/>
    <x v="0"/>
    <d v="2025-05-01T00:00:00"/>
    <d v="2025-06-08T00:00:00"/>
    <s v="Churn Risk"/>
  </r>
  <r>
    <n v="98"/>
    <d v="2025-04-14T00:00:00"/>
    <s v="M049"/>
    <s v="Enoush Debbarma"/>
    <n v="1000"/>
    <s v="Monthly"/>
    <s v="Google Pay"/>
    <x v="0"/>
    <d v="2025-04-01T00:00:00"/>
    <d v="2025-05-14T00:00:00"/>
    <s v="Churn Risk"/>
  </r>
  <r>
    <n v="99"/>
    <d v="2025-06-09T00:00:00"/>
    <s v="M050"/>
    <s v="G. Ranyea Singha"/>
    <n v="1000"/>
    <s v="Monthly"/>
    <s v="Google Pay"/>
    <x v="0"/>
    <d v="2025-06-01T00:00:00"/>
    <d v="2025-07-09T00:00:00"/>
    <s v="Churn Risk"/>
  </r>
  <r>
    <n v="100"/>
    <d v="2025-07-05T00:00:00"/>
    <s v="M051"/>
    <s v="Gourab Ghosh"/>
    <n v="800"/>
    <s v="Monthly"/>
    <s v="Cash"/>
    <x v="0"/>
    <d v="2025-07-01T00:00:00"/>
    <d v="2025-08-04T00:00:00"/>
    <s v="At Risk"/>
  </r>
  <r>
    <n v="101"/>
    <d v="2025-08-06T00:00:00"/>
    <s v="M051"/>
    <s v="Gourab Ghosh"/>
    <n v="2000"/>
    <s v="Monthly"/>
    <s v="Google Pay"/>
    <x v="0"/>
    <d v="2025-08-01T00:00:00"/>
    <d v="2025-09-05T00:00:00"/>
    <s v="Active"/>
  </r>
  <r>
    <n v="102"/>
    <d v="2025-05-14T00:00:00"/>
    <s v="M051"/>
    <s v="Gourab Ghosh"/>
    <n v="800"/>
    <s v="Monthly"/>
    <s v="Google Pay"/>
    <x v="0"/>
    <d v="2025-05-01T00:00:00"/>
    <d v="2025-06-13T00:00:00"/>
    <s v="Churn Risk"/>
  </r>
  <r>
    <n v="103"/>
    <d v="2025-04-10T00:00:00"/>
    <s v="M051"/>
    <s v="Gourab Ghosh"/>
    <n v="800"/>
    <s v="Monthly"/>
    <s v="Google Pay"/>
    <x v="0"/>
    <d v="2025-04-01T00:00:00"/>
    <d v="2025-05-10T00:00:00"/>
    <s v="Churn Risk"/>
  </r>
  <r>
    <n v="104"/>
    <d v="2025-04-11T00:00:00"/>
    <s v="M052"/>
    <s v="Gourab Majumder"/>
    <n v="2400"/>
    <s v="3 Months"/>
    <s v="Cash"/>
    <x v="0"/>
    <d v="2025-04-01T00:00:00"/>
    <d v="2025-07-10T00:00:00"/>
    <s v="Churn Risk"/>
  </r>
  <r>
    <n v="105"/>
    <d v="2025-06-19T00:00:00"/>
    <s v="M053"/>
    <s v="Himangshu Basfore"/>
    <n v="1000"/>
    <s v="Monthly"/>
    <s v="Cash"/>
    <x v="0"/>
    <d v="2025-06-01T00:00:00"/>
    <d v="2025-07-19T00:00:00"/>
    <s v="Churn Risk"/>
  </r>
  <r>
    <n v="106"/>
    <d v="2025-07-15T00:00:00"/>
    <s v="M053"/>
    <s v="Himangshu Basfore"/>
    <n v="1000"/>
    <s v="Monthly"/>
    <s v="Cash"/>
    <x v="0"/>
    <d v="2025-07-01T00:00:00"/>
    <d v="2025-08-14T00:00:00"/>
    <s v="At Risk"/>
  </r>
  <r>
    <n v="107"/>
    <d v="2025-06-05T00:00:00"/>
    <s v="M054"/>
    <s v="Himel Sinha"/>
    <n v="1000"/>
    <s v="Monthly"/>
    <s v="Cash"/>
    <x v="0"/>
    <d v="2025-06-01T00:00:00"/>
    <d v="2025-07-05T00:00:00"/>
    <s v="Churn Risk"/>
  </r>
  <r>
    <n v="108"/>
    <d v="2025-03-10T00:00:00"/>
    <s v="M054"/>
    <s v="Himel Sinha"/>
    <n v="1000"/>
    <s v="Monthly"/>
    <s v="Cash"/>
    <x v="0"/>
    <d v="2025-03-01T00:00:00"/>
    <d v="2025-04-09T00:00:00"/>
    <s v="Churn Risk"/>
  </r>
  <r>
    <n v="109"/>
    <d v="2025-04-04T00:00:00"/>
    <s v="M055"/>
    <s v="Hriday Debnath"/>
    <n v="1000"/>
    <s v="Monthly"/>
    <s v="Google Pay"/>
    <x v="0"/>
    <d v="2025-04-01T00:00:00"/>
    <d v="2025-05-04T00:00:00"/>
    <s v="Churn Risk"/>
  </r>
  <r>
    <n v="110"/>
    <d v="2025-07-04T00:00:00"/>
    <s v="M056"/>
    <s v="Irfan Reheman"/>
    <n v="2400"/>
    <s v="3 Months"/>
    <s v="Google Pay"/>
    <x v="0"/>
    <d v="2025-07-01T00:00:00"/>
    <d v="2025-10-02T00:00:00"/>
    <s v="Active"/>
  </r>
  <r>
    <n v="111"/>
    <d v="2025-08-03T00:00:00"/>
    <s v="M057"/>
    <s v="Jagriti Datta"/>
    <n v="1000"/>
    <s v="Monthly"/>
    <s v="Google Pay"/>
    <x v="0"/>
    <d v="2025-08-01T00:00:00"/>
    <d v="2025-09-02T00:00:00"/>
    <s v="Active"/>
  </r>
  <r>
    <n v="112"/>
    <d v="2025-07-01T00:00:00"/>
    <s v="M057"/>
    <s v="Jagriti Datta"/>
    <n v="1000"/>
    <s v="Monthly"/>
    <s v="Google Pay"/>
    <x v="0"/>
    <d v="2025-07-01T00:00:00"/>
    <d v="2025-07-31T00:00:00"/>
    <s v="Churn Risk"/>
  </r>
  <r>
    <n v="113"/>
    <d v="2025-06-19T00:00:00"/>
    <s v="M058"/>
    <s v="Jayanta Paul"/>
    <n v="2400"/>
    <s v="3 Months"/>
    <s v="Cash"/>
    <x v="0"/>
    <d v="2025-06-01T00:00:00"/>
    <d v="2025-09-17T00:00:00"/>
    <s v="Active"/>
  </r>
  <r>
    <n v="114"/>
    <d v="2025-06-06T00:00:00"/>
    <s v="M059"/>
    <s v="Jayasree Debnath"/>
    <n v="1000"/>
    <s v="Monthly"/>
    <s v="Google Pay"/>
    <x v="0"/>
    <d v="2025-06-01T00:00:00"/>
    <d v="2025-07-06T00:00:00"/>
    <s v="Churn Risk"/>
  </r>
  <r>
    <n v="115"/>
    <d v="2025-08-11T00:00:00"/>
    <s v="M059"/>
    <s v="Jayasree Debnath"/>
    <n v="1000"/>
    <s v="Monthly"/>
    <s v="Google Pay"/>
    <x v="0"/>
    <d v="2025-08-01T00:00:00"/>
    <d v="2025-09-10T00:00:00"/>
    <s v="Active"/>
  </r>
  <r>
    <n v="116"/>
    <d v="2025-06-30T00:00:00"/>
    <s v="M060"/>
    <s v="Jordan Debbarma"/>
    <n v="1000"/>
    <s v="Monthly"/>
    <s v="Google Pay"/>
    <x v="0"/>
    <d v="2025-06-01T00:00:00"/>
    <d v="2025-07-30T00:00:00"/>
    <s v="Churn Risk"/>
  </r>
  <r>
    <n v="117"/>
    <d v="2025-07-31T00:00:00"/>
    <s v="M060"/>
    <s v="Jordan Debbarma"/>
    <n v="500"/>
    <s v="Monthly"/>
    <s v="Cash"/>
    <x v="0"/>
    <d v="2025-07-01T00:00:00"/>
    <d v="2025-08-30T00:00:00"/>
    <s v="At Risk"/>
  </r>
  <r>
    <n v="118"/>
    <d v="2025-03-20T00:00:00"/>
    <s v="M061"/>
    <s v="Joy Shree Debnath"/>
    <n v="1000"/>
    <s v="Monthly"/>
    <s v="Google Pay"/>
    <x v="0"/>
    <d v="2025-03-01T00:00:00"/>
    <d v="2025-04-19T00:00:00"/>
    <s v="Churn Risk"/>
  </r>
  <r>
    <n v="119"/>
    <d v="2025-08-05T00:00:00"/>
    <s v="M062"/>
    <s v="Jyotirmoy Das Choudhury"/>
    <n v="2400"/>
    <s v="3 Months"/>
    <s v="Google Pay"/>
    <x v="0"/>
    <d v="2025-08-01T00:00:00"/>
    <d v="2025-11-03T00:00:00"/>
    <s v="Active"/>
  </r>
  <r>
    <n v="120"/>
    <d v="2025-06-02T00:00:00"/>
    <s v="M063"/>
    <s v="Kallol Roy"/>
    <n v="1000"/>
    <s v="Monthly"/>
    <s v="Cash"/>
    <x v="0"/>
    <d v="2025-06-01T00:00:00"/>
    <d v="2025-07-02T00:00:00"/>
    <s v="Churn Risk"/>
  </r>
  <r>
    <n v="121"/>
    <d v="2025-04-14T00:00:00"/>
    <s v="M064"/>
    <s v="Karnajit Dey"/>
    <n v="1000"/>
    <s v="Monthly"/>
    <s v="Google Pay"/>
    <x v="0"/>
    <d v="2025-04-01T00:00:00"/>
    <d v="2025-05-14T00:00:00"/>
    <s v="Churn Risk"/>
  </r>
  <r>
    <n v="122"/>
    <d v="2025-03-05T00:00:00"/>
    <s v="M065"/>
    <s v="Kishor Das"/>
    <n v="1000"/>
    <s v="Monthly"/>
    <s v="Cash"/>
    <x v="0"/>
    <d v="2025-03-01T00:00:00"/>
    <d v="2025-04-04T00:00:00"/>
    <s v="Churn Risk"/>
  </r>
  <r>
    <n v="123"/>
    <d v="2025-08-06T00:00:00"/>
    <s v="M065"/>
    <s v="Kishor Das"/>
    <n v="1000"/>
    <s v="Monthly"/>
    <s v="Cash"/>
    <x v="0"/>
    <d v="2025-08-01T00:00:00"/>
    <d v="2025-09-05T00:00:00"/>
    <s v="Active"/>
  </r>
  <r>
    <n v="124"/>
    <d v="2025-05-15T00:00:00"/>
    <s v="M065"/>
    <s v="Kishor Das"/>
    <n v="1000"/>
    <s v="Monthly"/>
    <s v="Cash"/>
    <x v="0"/>
    <d v="2025-05-01T00:00:00"/>
    <d v="2025-06-14T00:00:00"/>
    <s v="Churn Risk"/>
  </r>
  <r>
    <n v="125"/>
    <d v="2025-06-11T00:00:00"/>
    <s v="M065"/>
    <s v="Kishor Das"/>
    <n v="1000"/>
    <s v="Monthly"/>
    <s v="Cash"/>
    <x v="0"/>
    <d v="2025-06-01T00:00:00"/>
    <d v="2025-07-11T00:00:00"/>
    <s v="Churn Risk"/>
  </r>
  <r>
    <n v="126"/>
    <d v="2025-04-10T00:00:00"/>
    <s v="M065"/>
    <s v="Kishor Das"/>
    <n v="1000"/>
    <s v="Monthly"/>
    <s v="Cash"/>
    <x v="0"/>
    <d v="2025-04-01T00:00:00"/>
    <d v="2025-05-10T00:00:00"/>
    <s v="Churn Risk"/>
  </r>
  <r>
    <n v="127"/>
    <d v="2025-07-11T00:00:00"/>
    <s v="M065"/>
    <s v="Kishor Das"/>
    <n v="1000"/>
    <s v="Monthly"/>
    <s v="Cash"/>
    <x v="0"/>
    <d v="2025-07-01T00:00:00"/>
    <d v="2025-08-10T00:00:00"/>
    <s v="At Risk"/>
  </r>
  <r>
    <n v="128"/>
    <d v="2025-06-07T00:00:00"/>
    <s v="M066"/>
    <s v="Koushik Das"/>
    <n v="2400"/>
    <s v="3 Months"/>
    <s v="Google Pay"/>
    <x v="0"/>
    <d v="2025-06-01T00:00:00"/>
    <d v="2025-09-05T00:00:00"/>
    <s v="Active"/>
  </r>
  <r>
    <n v="129"/>
    <d v="2025-03-11T00:00:00"/>
    <s v="M067"/>
    <s v="Krishan Bhattacharjee"/>
    <n v="1000"/>
    <s v="Monthly"/>
    <s v="Google Pay"/>
    <x v="0"/>
    <d v="2025-03-01T00:00:00"/>
    <d v="2025-04-10T00:00:00"/>
    <s v="Churn Risk"/>
  </r>
  <r>
    <n v="130"/>
    <d v="2025-05-23T00:00:00"/>
    <s v="M067"/>
    <s v="Krishan Bhattacharjee"/>
    <n v="1000"/>
    <s v="Monthly"/>
    <s v="Google Pay"/>
    <x v="0"/>
    <d v="2025-05-01T00:00:00"/>
    <d v="2025-06-22T00:00:00"/>
    <s v="Churn Risk"/>
  </r>
  <r>
    <n v="131"/>
    <d v="2025-06-26T00:00:00"/>
    <s v="M067"/>
    <s v="Krishan Bhattacharjee"/>
    <n v="1000"/>
    <s v="Monthly"/>
    <s v="Google Pay"/>
    <x v="0"/>
    <d v="2025-06-01T00:00:00"/>
    <d v="2025-07-26T00:00:00"/>
    <s v="Churn Risk"/>
  </r>
  <r>
    <n v="132"/>
    <d v="2025-07-25T00:00:00"/>
    <s v="M067"/>
    <s v="Krishan Bhattacharjee"/>
    <n v="1000"/>
    <s v="Monthly"/>
    <s v="Google Pay"/>
    <x v="0"/>
    <d v="2025-07-01T00:00:00"/>
    <d v="2025-08-24T00:00:00"/>
    <s v="At Risk"/>
  </r>
  <r>
    <n v="133"/>
    <d v="2025-06-18T00:00:00"/>
    <s v="M068"/>
    <s v="Krishan Bhowmik"/>
    <n v="1000"/>
    <s v="Monthly"/>
    <s v="Cash"/>
    <x v="0"/>
    <d v="2025-06-01T00:00:00"/>
    <d v="2025-07-18T00:00:00"/>
    <s v="Churn Risk"/>
  </r>
  <r>
    <n v="134"/>
    <d v="2025-03-03T00:00:00"/>
    <s v="M069"/>
    <s v="Kunal Debbarma"/>
    <n v="1000"/>
    <s v="Monthly"/>
    <s v="Cash"/>
    <x v="0"/>
    <d v="2025-03-01T00:00:00"/>
    <d v="2025-04-02T00:00:00"/>
    <s v="Churn Risk"/>
  </r>
  <r>
    <n v="135"/>
    <d v="2025-05-02T00:00:00"/>
    <s v="M069"/>
    <s v="Kunal Debbarma"/>
    <n v="1000"/>
    <s v="Monthly"/>
    <s v="Cash"/>
    <x v="0"/>
    <d v="2025-05-01T00:00:00"/>
    <d v="2025-06-01T00:00:00"/>
    <s v="Churn Risk"/>
  </r>
  <r>
    <n v="136"/>
    <d v="2025-04-05T00:00:00"/>
    <s v="M069"/>
    <s v="Kunal Debbarma"/>
    <n v="1000"/>
    <s v="Monthly"/>
    <s v="Cash"/>
    <x v="0"/>
    <d v="2025-04-01T00:00:00"/>
    <d v="2025-05-05T00:00:00"/>
    <s v="Churn Risk"/>
  </r>
  <r>
    <n v="137"/>
    <d v="2025-07-04T00:00:00"/>
    <s v="M069"/>
    <s v="Kunal Debbarma"/>
    <n v="1000"/>
    <s v="Monthly"/>
    <s v="Cash"/>
    <x v="0"/>
    <d v="2025-07-01T00:00:00"/>
    <d v="2025-08-03T00:00:00"/>
    <s v="At Risk"/>
  </r>
  <r>
    <n v="138"/>
    <d v="2025-08-06T00:00:00"/>
    <s v="M069"/>
    <s v="Kunal Debbarma"/>
    <n v="1000"/>
    <s v="Monthly"/>
    <s v="Cash"/>
    <x v="0"/>
    <d v="2025-08-01T00:00:00"/>
    <d v="2025-09-05T00:00:00"/>
    <s v="Active"/>
  </r>
  <r>
    <n v="139"/>
    <d v="2025-06-07T00:00:00"/>
    <s v="M069"/>
    <s v="Kunal Debbarma"/>
    <n v="1000"/>
    <s v="Monthly"/>
    <s v="Cash"/>
    <x v="0"/>
    <d v="2025-06-01T00:00:00"/>
    <d v="2025-07-07T00:00:00"/>
    <s v="Churn Risk"/>
  </r>
  <r>
    <n v="140"/>
    <d v="2025-07-08T00:00:00"/>
    <s v="M070"/>
    <s v="Kunal Saha"/>
    <n v="3000"/>
    <s v="3 Months"/>
    <s v="Cash"/>
    <x v="1"/>
    <d v="2025-07-01T00:00:00"/>
    <d v="2025-10-06T00:00:00"/>
    <s v="Active"/>
  </r>
  <r>
    <n v="141"/>
    <d v="2025-08-08T00:00:00"/>
    <s v="M070"/>
    <s v="Kunal Saha"/>
    <n v="3000"/>
    <s v="3 Months"/>
    <s v="Cash"/>
    <x v="1"/>
    <d v="2025-08-01T00:00:00"/>
    <d v="2025-11-06T00:00:00"/>
    <s v="Active"/>
  </r>
  <r>
    <n v="142"/>
    <d v="2025-04-10T00:00:00"/>
    <s v="M070"/>
    <s v="Kunal Saha"/>
    <n v="2000"/>
    <s v="Monthly"/>
    <s v="Google Pay"/>
    <x v="0"/>
    <d v="2025-04-01T00:00:00"/>
    <d v="2025-05-10T00:00:00"/>
    <s v="Churn Risk"/>
  </r>
  <r>
    <n v="143"/>
    <d v="2025-05-22T00:00:00"/>
    <s v="M070"/>
    <s v="Kunal Saha"/>
    <n v="1000"/>
    <s v="Monthly"/>
    <s v="Google Pay"/>
    <x v="0"/>
    <d v="2025-05-01T00:00:00"/>
    <d v="2025-06-21T00:00:00"/>
    <s v="Churn Risk"/>
  </r>
  <r>
    <n v="144"/>
    <d v="2025-06-23T00:00:00"/>
    <s v="M070"/>
    <s v="Kunal Saha"/>
    <n v="1000"/>
    <s v="Monthly"/>
    <s v="Google Pay"/>
    <x v="0"/>
    <d v="2025-06-01T00:00:00"/>
    <d v="2025-07-23T00:00:00"/>
    <s v="Churn Risk"/>
  </r>
  <r>
    <n v="145"/>
    <d v="2025-05-06T00:00:00"/>
    <s v="M071"/>
    <s v="Kushal Banik"/>
    <n v="1000"/>
    <s v="Monthly"/>
    <s v="Cash"/>
    <x v="0"/>
    <d v="2025-05-01T00:00:00"/>
    <d v="2025-06-05T00:00:00"/>
    <s v="Churn Risk"/>
  </r>
  <r>
    <n v="146"/>
    <d v="2025-06-06T00:00:00"/>
    <s v="M071"/>
    <s v="Kushal Banik"/>
    <n v="1000"/>
    <s v="Monthly"/>
    <s v="Google Pay"/>
    <x v="0"/>
    <d v="2025-06-01T00:00:00"/>
    <d v="2025-07-06T00:00:00"/>
    <s v="Churn Risk"/>
  </r>
  <r>
    <n v="147"/>
    <d v="2025-07-04T00:00:00"/>
    <s v="M071"/>
    <s v="Kushal Banik"/>
    <n v="1000"/>
    <s v="Monthly"/>
    <s v="Cash"/>
    <x v="0"/>
    <d v="2025-07-01T00:00:00"/>
    <d v="2025-08-03T00:00:00"/>
    <s v="At Risk"/>
  </r>
  <r>
    <n v="148"/>
    <d v="2025-05-17T00:00:00"/>
    <s v="M071"/>
    <s v="Kushal Banik"/>
    <n v="2000"/>
    <s v="Monthly"/>
    <s v="Google Pay"/>
    <x v="1"/>
    <d v="2025-05-01T00:00:00"/>
    <d v="2025-06-16T00:00:00"/>
    <s v="Churn Risk"/>
  </r>
  <r>
    <n v="149"/>
    <d v="2025-08-12T00:00:00"/>
    <s v="M071"/>
    <s v="Kushal Banik"/>
    <n v="1000"/>
    <s v="Monthly"/>
    <s v="Google Pay"/>
    <x v="0"/>
    <d v="2025-08-01T00:00:00"/>
    <d v="2025-09-11T00:00:00"/>
    <s v="Active"/>
  </r>
  <r>
    <n v="150"/>
    <d v="2025-07-04T00:00:00"/>
    <s v="M072"/>
    <s v="Litan Miah"/>
    <n v="1000"/>
    <s v="Monthly"/>
    <s v="Google Pay"/>
    <x v="0"/>
    <d v="2025-07-01T00:00:00"/>
    <d v="2025-08-03T00:00:00"/>
    <s v="At Risk"/>
  </r>
  <r>
    <n v="151"/>
    <d v="2025-03-09T00:00:00"/>
    <s v="M072"/>
    <s v="Litan Miah"/>
    <n v="1000"/>
    <s v="Monthly"/>
    <s v="Google Pay"/>
    <x v="0"/>
    <d v="2025-03-01T00:00:00"/>
    <d v="2025-04-08T00:00:00"/>
    <s v="Churn Risk"/>
  </r>
  <r>
    <n v="152"/>
    <d v="2025-06-12T00:00:00"/>
    <s v="M072"/>
    <s v="Litan Miah"/>
    <n v="1000"/>
    <s v="Monthly"/>
    <s v="Cash"/>
    <x v="0"/>
    <d v="2025-06-01T00:00:00"/>
    <d v="2025-07-12T00:00:00"/>
    <s v="Churn Risk"/>
  </r>
  <r>
    <n v="153"/>
    <d v="2025-04-18T00:00:00"/>
    <s v="M072"/>
    <s v="Litan Miah"/>
    <n v="1000"/>
    <s v="Monthly"/>
    <s v="Cash"/>
    <x v="0"/>
    <d v="2025-04-01T00:00:00"/>
    <d v="2025-05-18T00:00:00"/>
    <s v="Churn Risk"/>
  </r>
  <r>
    <n v="154"/>
    <d v="2025-07-28T00:00:00"/>
    <s v="M072"/>
    <s v="Litan Miah"/>
    <n v="1000"/>
    <s v="Monthly"/>
    <s v="Cash"/>
    <x v="0"/>
    <d v="2025-07-01T00:00:00"/>
    <d v="2025-08-27T00:00:00"/>
    <s v="At Risk"/>
  </r>
  <r>
    <n v="155"/>
    <d v="2025-08-05T00:00:00"/>
    <s v="M073"/>
    <s v="Maitri Singha"/>
    <n v="1000"/>
    <s v="Monthly"/>
    <s v="Cash"/>
    <x v="0"/>
    <d v="2025-08-01T00:00:00"/>
    <d v="2025-09-04T00:00:00"/>
    <s v="Active"/>
  </r>
  <r>
    <n v="156"/>
    <d v="2025-06-13T00:00:00"/>
    <s v="M074"/>
    <s v="Manajit Singha"/>
    <n v="1000"/>
    <s v="Monthly"/>
    <s v="Google Pay"/>
    <x v="0"/>
    <d v="2025-06-01T00:00:00"/>
    <d v="2025-07-13T00:00:00"/>
    <s v="Churn Risk"/>
  </r>
  <r>
    <n v="157"/>
    <d v="2025-04-14T00:00:00"/>
    <s v="M075"/>
    <s v="Manak Choudhry"/>
    <n v="7200"/>
    <s v="Yearly"/>
    <s v="Google Pay"/>
    <x v="0"/>
    <d v="2025-04-01T00:00:00"/>
    <d v="2026-04-14T00:00:00"/>
    <s v="Active"/>
  </r>
  <r>
    <n v="158"/>
    <d v="2025-06-04T00:00:00"/>
    <s v="M076"/>
    <s v="Mani Roy"/>
    <n v="3000"/>
    <s v="3 Months"/>
    <s v="Cash"/>
    <x v="1"/>
    <d v="2025-06-01T00:00:00"/>
    <d v="2025-09-02T00:00:00"/>
    <s v="Active"/>
  </r>
  <r>
    <n v="159"/>
    <d v="2025-04-07T00:00:00"/>
    <s v="M076"/>
    <s v="Mani Roy"/>
    <n v="3000"/>
    <s v="3 Months"/>
    <s v="Cash"/>
    <x v="1"/>
    <d v="2025-04-01T00:00:00"/>
    <d v="2025-07-06T00:00:00"/>
    <s v="Churn Risk"/>
  </r>
  <r>
    <n v="160"/>
    <d v="2025-03-07T00:00:00"/>
    <s v="M076"/>
    <s v="Mani Roy"/>
    <n v="3000"/>
    <s v="3 Months"/>
    <s v="Cash"/>
    <x v="1"/>
    <d v="2025-03-01T00:00:00"/>
    <d v="2025-06-05T00:00:00"/>
    <s v="Churn Risk"/>
  </r>
  <r>
    <n v="161"/>
    <d v="2025-07-07T00:00:00"/>
    <s v="M076"/>
    <s v="Mani Roy"/>
    <n v="3000"/>
    <s v="3 Months"/>
    <s v="Cash"/>
    <x v="1"/>
    <d v="2025-07-01T00:00:00"/>
    <d v="2025-10-05T00:00:00"/>
    <s v="Active"/>
  </r>
  <r>
    <n v="162"/>
    <d v="2025-08-12T00:00:00"/>
    <s v="M076"/>
    <s v="Mani Roy"/>
    <n v="3000"/>
    <s v="3 Months"/>
    <s v="Cash"/>
    <x v="1"/>
    <d v="2025-08-01T00:00:00"/>
    <d v="2025-11-10T00:00:00"/>
    <s v="Active"/>
  </r>
  <r>
    <n v="163"/>
    <d v="2025-05-09T00:00:00"/>
    <s v="M077"/>
    <s v="Mani Roy "/>
    <n v="3000"/>
    <s v="3 Months"/>
    <s v="Cash"/>
    <x v="1"/>
    <d v="2025-05-01T00:00:00"/>
    <d v="2025-08-07T00:00:00"/>
    <s v="At Risk"/>
  </r>
  <r>
    <n v="164"/>
    <d v="2025-07-09T00:00:00"/>
    <s v="M078"/>
    <s v="Md. Imran"/>
    <n v="1500"/>
    <s v="Monthly"/>
    <s v="Cash"/>
    <x v="0"/>
    <d v="2025-07-01T00:00:00"/>
    <d v="2025-08-08T00:00:00"/>
    <s v="At Risk"/>
  </r>
  <r>
    <n v="165"/>
    <d v="2025-06-10T00:00:00"/>
    <s v="M079"/>
    <s v="Mina Dhar"/>
    <n v="3000"/>
    <s v="3 Months"/>
    <s v="Cash"/>
    <x v="1"/>
    <d v="2025-06-01T00:00:00"/>
    <d v="2025-09-08T00:00:00"/>
    <s v="Active"/>
  </r>
  <r>
    <n v="166"/>
    <d v="2025-08-19T00:00:00"/>
    <s v="M079"/>
    <s v="Mina Dhar"/>
    <n v="3000"/>
    <s v="3 Months"/>
    <s v="Cash"/>
    <x v="1"/>
    <d v="2025-08-01T00:00:00"/>
    <d v="2025-11-17T00:00:00"/>
    <s v="Active"/>
  </r>
  <r>
    <n v="167"/>
    <d v="2025-06-03T00:00:00"/>
    <s v="M080"/>
    <s v="Minal Debbarma"/>
    <n v="1000"/>
    <s v="Monthly"/>
    <s v="Cash"/>
    <x v="0"/>
    <d v="2025-06-01T00:00:00"/>
    <d v="2025-07-03T00:00:00"/>
    <s v="Churn Risk"/>
  </r>
  <r>
    <n v="168"/>
    <d v="2025-07-01T00:00:00"/>
    <s v="M080"/>
    <s v="Minal Debbarma"/>
    <n v="1000"/>
    <s v="Monthly"/>
    <s v="Cash"/>
    <x v="0"/>
    <d v="2025-07-01T00:00:00"/>
    <d v="2025-07-31T00:00:00"/>
    <s v="Churn Risk"/>
  </r>
  <r>
    <n v="169"/>
    <d v="2025-05-05T00:00:00"/>
    <s v="M080"/>
    <s v="Minal Debbarma"/>
    <n v="1000"/>
    <s v="Monthly"/>
    <s v="Cash"/>
    <x v="0"/>
    <d v="2025-05-01T00:00:00"/>
    <d v="2025-06-04T00:00:00"/>
    <s v="Churn Risk"/>
  </r>
  <r>
    <n v="170"/>
    <d v="2025-03-04T00:00:00"/>
    <s v="M080"/>
    <s v="Minal Debbarma"/>
    <n v="1000"/>
    <s v="Monthly"/>
    <s v="Cash"/>
    <x v="0"/>
    <d v="2025-03-01T00:00:00"/>
    <d v="2025-04-03T00:00:00"/>
    <s v="Churn Risk"/>
  </r>
  <r>
    <n v="171"/>
    <d v="2025-08-05T00:00:00"/>
    <s v="M080"/>
    <s v="Minal Debbarma"/>
    <n v="1000"/>
    <s v="Monthly"/>
    <s v="Google Pay"/>
    <x v="0"/>
    <d v="2025-08-01T00:00:00"/>
    <d v="2025-09-04T00:00:00"/>
    <s v="Active"/>
  </r>
  <r>
    <n v="172"/>
    <d v="2025-04-04T00:00:00"/>
    <s v="M080"/>
    <s v="Minal Debbarma"/>
    <n v="1000"/>
    <s v="Monthly"/>
    <s v="Cash"/>
    <x v="0"/>
    <d v="2025-04-01T00:00:00"/>
    <d v="2025-05-04T00:00:00"/>
    <s v="Churn Risk"/>
  </r>
  <r>
    <n v="173"/>
    <d v="2025-06-12T00:00:00"/>
    <s v="M080"/>
    <s v="Minal Debbarma"/>
    <n v="1000"/>
    <s v="Monthly"/>
    <s v="Cash"/>
    <x v="0"/>
    <d v="2025-06-01T00:00:00"/>
    <d v="2025-07-12T00:00:00"/>
    <s v="Churn Risk"/>
  </r>
  <r>
    <n v="174"/>
    <d v="2025-05-06T00:00:00"/>
    <s v="M081"/>
    <s v="Mithun Saha"/>
    <n v="2000"/>
    <s v="Monthly"/>
    <s v="Cash"/>
    <x v="0"/>
    <d v="2025-05-01T00:00:00"/>
    <d v="2025-06-05T00:00:00"/>
    <s v="Churn Risk"/>
  </r>
  <r>
    <n v="175"/>
    <d v="2025-06-04T00:00:00"/>
    <s v="M081"/>
    <s v="Mithun Saha"/>
    <n v="2000"/>
    <s v="Monthly"/>
    <s v="Google Pay"/>
    <x v="1"/>
    <d v="2025-06-01T00:00:00"/>
    <d v="2025-07-04T00:00:00"/>
    <s v="Churn Risk"/>
  </r>
  <r>
    <n v="176"/>
    <d v="2025-08-06T00:00:00"/>
    <s v="M081"/>
    <s v="Mithun Saha"/>
    <n v="2000"/>
    <s v="Monthly"/>
    <s v="Google Pay"/>
    <x v="0"/>
    <d v="2025-08-01T00:00:00"/>
    <d v="2025-09-05T00:00:00"/>
    <s v="Active"/>
  </r>
  <r>
    <n v="177"/>
    <d v="2025-07-05T00:00:00"/>
    <s v="M081"/>
    <s v="Mithun Saha"/>
    <n v="2000"/>
    <s v="Monthly"/>
    <s v="Google Pay"/>
    <x v="1"/>
    <d v="2025-07-01T00:00:00"/>
    <d v="2025-08-04T00:00:00"/>
    <s v="At Risk"/>
  </r>
  <r>
    <n v="178"/>
    <d v="2025-04-19T00:00:00"/>
    <s v="M081"/>
    <s v="Mithun Saha"/>
    <n v="1800"/>
    <s v="Monthly"/>
    <s v="Cash"/>
    <x v="0"/>
    <d v="2025-04-01T00:00:00"/>
    <d v="2025-05-19T00:00:00"/>
    <s v="Churn Risk"/>
  </r>
  <r>
    <n v="179"/>
    <d v="2025-06-19T00:00:00"/>
    <s v="M082"/>
    <s v="Mridul Saha"/>
    <n v="500"/>
    <s v="Monthly"/>
    <s v="Google Pay"/>
    <x v="0"/>
    <d v="2025-06-01T00:00:00"/>
    <d v="2025-07-19T00:00:00"/>
    <s v="Churn Risk"/>
  </r>
  <r>
    <n v="180"/>
    <d v="2025-03-16T00:00:00"/>
    <s v="M083"/>
    <s v="Nabajit Roy"/>
    <n v="800"/>
    <s v="Monthly"/>
    <s v="Google Pay"/>
    <x v="0"/>
    <d v="2025-03-01T00:00:00"/>
    <d v="2025-04-15T00:00:00"/>
    <s v="Churn Risk"/>
  </r>
  <r>
    <n v="181"/>
    <d v="2025-04-14T00:00:00"/>
    <s v="M083"/>
    <s v="Nabajit Roy"/>
    <n v="800"/>
    <s v="Monthly"/>
    <s v="Google Pay"/>
    <x v="0"/>
    <d v="2025-04-01T00:00:00"/>
    <d v="2025-05-14T00:00:00"/>
    <s v="Churn Risk"/>
  </r>
  <r>
    <n v="182"/>
    <d v="2025-08-05T00:00:00"/>
    <s v="M084"/>
    <s v="Nabajit Saha"/>
    <n v="1000"/>
    <s v="Monthly"/>
    <s v="Google Pay"/>
    <x v="0"/>
    <d v="2025-08-01T00:00:00"/>
    <d v="2025-09-04T00:00:00"/>
    <s v="Active"/>
  </r>
  <r>
    <n v="183"/>
    <d v="2025-03-05T00:00:00"/>
    <s v="M084"/>
    <s v="Nabajit Saha"/>
    <n v="1000"/>
    <s v="Monthly"/>
    <s v="Google Pay"/>
    <x v="0"/>
    <d v="2025-03-01T00:00:00"/>
    <d v="2025-04-04T00:00:00"/>
    <s v="Churn Risk"/>
  </r>
  <r>
    <n v="184"/>
    <d v="2025-07-08T00:00:00"/>
    <s v="M084"/>
    <s v="Nabajit Saha"/>
    <n v="1000"/>
    <s v="Monthly"/>
    <s v="Google Pay"/>
    <x v="0"/>
    <d v="2025-07-01T00:00:00"/>
    <d v="2025-08-07T00:00:00"/>
    <s v="At Risk"/>
  </r>
  <r>
    <n v="185"/>
    <d v="2025-04-10T00:00:00"/>
    <s v="M084"/>
    <s v="Nabajit Saha"/>
    <n v="1000"/>
    <s v="Monthly"/>
    <s v="Google Pay"/>
    <x v="0"/>
    <d v="2025-04-01T00:00:00"/>
    <d v="2025-05-10T00:00:00"/>
    <s v="Churn Risk"/>
  </r>
  <r>
    <n v="186"/>
    <d v="2025-05-23T00:00:00"/>
    <s v="M085"/>
    <s v="Nabajit Saha Sarkar"/>
    <n v="1000"/>
    <s v="Monthly"/>
    <s v="Google Pay"/>
    <x v="0"/>
    <d v="2025-05-01T00:00:00"/>
    <d v="2025-06-22T00:00:00"/>
    <s v="Churn Risk"/>
  </r>
  <r>
    <n v="187"/>
    <d v="2025-06-04T00:00:00"/>
    <s v="M086"/>
    <s v="Nandan Ghosh"/>
    <n v="1000"/>
    <s v="Monthly"/>
    <s v="Google Pay"/>
    <x v="0"/>
    <d v="2025-06-01T00:00:00"/>
    <d v="2025-07-04T00:00:00"/>
    <s v="Churn Risk"/>
  </r>
  <r>
    <n v="188"/>
    <d v="2025-08-14T00:00:00"/>
    <s v="M086"/>
    <s v="Nandan Ghosh"/>
    <n v="1000"/>
    <s v="Monthly"/>
    <s v="Google Pay"/>
    <x v="0"/>
    <d v="2025-08-01T00:00:00"/>
    <d v="2025-09-13T00:00:00"/>
    <s v="Active"/>
  </r>
  <r>
    <n v="189"/>
    <d v="2025-03-28T00:00:00"/>
    <s v="M086"/>
    <s v="Nandan Ghosh"/>
    <n v="1000"/>
    <s v="Monthly"/>
    <s v="Google Pay"/>
    <x v="0"/>
    <d v="2025-03-01T00:00:00"/>
    <d v="2025-04-27T00:00:00"/>
    <s v="Churn Risk"/>
  </r>
  <r>
    <n v="190"/>
    <d v="2025-08-06T00:00:00"/>
    <s v="M087"/>
    <s v="Nishan Debbarma"/>
    <n v="1000"/>
    <s v="Monthly"/>
    <s v="Cash"/>
    <x v="0"/>
    <d v="2025-08-01T00:00:00"/>
    <d v="2025-09-05T00:00:00"/>
    <s v="Active"/>
  </r>
  <r>
    <n v="191"/>
    <d v="2025-06-04T00:00:00"/>
    <s v="M088"/>
    <s v="Panomartha Ghosh"/>
    <n v="1000"/>
    <s v="Monthly"/>
    <s v="Cash"/>
    <x v="0"/>
    <d v="2025-06-01T00:00:00"/>
    <d v="2025-07-04T00:00:00"/>
    <s v="Churn Risk"/>
  </r>
  <r>
    <n v="192"/>
    <d v="2025-06-13T00:00:00"/>
    <s v="M089"/>
    <s v="Papya Bhowmik"/>
    <n v="1000"/>
    <s v="Monthly"/>
    <s v="Google Pay"/>
    <x v="0"/>
    <d v="2025-06-01T00:00:00"/>
    <d v="2025-07-13T00:00:00"/>
    <s v="Churn Risk"/>
  </r>
  <r>
    <n v="193"/>
    <d v="2025-06-13T00:00:00"/>
    <s v="M090"/>
    <s v="Papya Ghosh"/>
    <n v="1000"/>
    <s v="Monthly"/>
    <s v="Google Pay"/>
    <x v="0"/>
    <d v="2025-06-01T00:00:00"/>
    <d v="2025-07-13T00:00:00"/>
    <s v="Churn Risk"/>
  </r>
  <r>
    <n v="194"/>
    <d v="2025-07-05T00:00:00"/>
    <s v="M091"/>
    <s v="Paromartha Ghosh"/>
    <n v="1000"/>
    <s v="Monthly"/>
    <s v="Google Pay"/>
    <x v="0"/>
    <d v="2025-07-01T00:00:00"/>
    <d v="2025-08-04T00:00:00"/>
    <s v="At Risk"/>
  </r>
  <r>
    <n v="195"/>
    <d v="2025-07-31T00:00:00"/>
    <s v="M091"/>
    <s v="Paromartha Ghosh"/>
    <n v="1000"/>
    <s v="Monthly"/>
    <s v="Cash"/>
    <x v="0"/>
    <d v="2025-07-01T00:00:00"/>
    <d v="2025-08-30T00:00:00"/>
    <s v="At Risk"/>
  </r>
  <r>
    <n v="196"/>
    <d v="2025-05-12T00:00:00"/>
    <s v="M092"/>
    <s v="Payel Bhowmik"/>
    <n v="1000"/>
    <s v="Monthly"/>
    <s v="Google Pay"/>
    <x v="0"/>
    <d v="2025-05-01T00:00:00"/>
    <d v="2025-06-11T00:00:00"/>
    <s v="Churn Risk"/>
  </r>
  <r>
    <n v="197"/>
    <d v="2025-03-05T00:00:00"/>
    <s v="M093"/>
    <s v="Pradip Das"/>
    <n v="1000"/>
    <s v="Monthly"/>
    <s v="Google Pay"/>
    <x v="0"/>
    <d v="2025-03-01T00:00:00"/>
    <d v="2025-04-04T00:00:00"/>
    <s v="Churn Risk"/>
  </r>
  <r>
    <n v="198"/>
    <d v="2025-04-14T00:00:00"/>
    <s v="M093"/>
    <s v="Pradip Das"/>
    <n v="1000"/>
    <s v="Monthly"/>
    <s v="Google Pay"/>
    <x v="0"/>
    <d v="2025-04-01T00:00:00"/>
    <d v="2025-05-14T00:00:00"/>
    <s v="Churn Risk"/>
  </r>
  <r>
    <n v="199"/>
    <d v="2025-03-05T00:00:00"/>
    <s v="M094"/>
    <s v="Pradip Majumder"/>
    <n v="2400"/>
    <s v="3 Months"/>
    <s v="Google Pay"/>
    <x v="0"/>
    <d v="2025-03-01T00:00:00"/>
    <d v="2025-06-03T00:00:00"/>
    <s v="Churn Risk"/>
  </r>
  <r>
    <n v="200"/>
    <d v="2025-06-09T00:00:00"/>
    <s v="M094"/>
    <s v="Pradip Majumder"/>
    <n v="2400"/>
    <s v="3 Months"/>
    <s v="Google Pay"/>
    <x v="0"/>
    <d v="2025-06-01T00:00:00"/>
    <d v="2025-09-07T00:00:00"/>
    <s v="Active"/>
  </r>
  <r>
    <n v="201"/>
    <d v="2025-07-07T00:00:00"/>
    <s v="M095"/>
    <s v="Prasenjit Roy Chowdhury"/>
    <n v="1000"/>
    <s v="Monthly"/>
    <s v="Google Pay"/>
    <x v="0"/>
    <d v="2025-07-01T00:00:00"/>
    <d v="2025-08-06T00:00:00"/>
    <s v="At Risk"/>
  </r>
  <r>
    <n v="202"/>
    <d v="2025-03-04T00:00:00"/>
    <s v="M096"/>
    <s v="Prasenjit Sarkar"/>
    <n v="4800"/>
    <s v="6 Months"/>
    <s v="Google Pay"/>
    <x v="0"/>
    <d v="2025-03-01T00:00:00"/>
    <d v="2025-08-31T00:00:00"/>
    <s v="Active"/>
  </r>
  <r>
    <n v="203"/>
    <d v="2025-04-28T00:00:00"/>
    <s v="M097"/>
    <s v="Prayesh Das"/>
    <n v="1000"/>
    <s v="Monthly"/>
    <s v="Google Pay"/>
    <x v="0"/>
    <d v="2025-04-01T00:00:00"/>
    <d v="2025-05-28T00:00:00"/>
    <s v="Churn Risk"/>
  </r>
  <r>
    <n v="204"/>
    <d v="2025-07-08T00:00:00"/>
    <s v="M098"/>
    <s v="Prerna Biswas"/>
    <n v="3000"/>
    <s v="3 Months"/>
    <s v="Cash"/>
    <x v="1"/>
    <d v="2025-07-01T00:00:00"/>
    <d v="2025-10-06T00:00:00"/>
    <s v="Active"/>
  </r>
  <r>
    <n v="205"/>
    <d v="2025-08-14T00:00:00"/>
    <s v="M098"/>
    <s v="Prerna Biswas"/>
    <n v="1000"/>
    <s v="Monthly"/>
    <s v="Cash"/>
    <x v="0"/>
    <d v="2025-08-01T00:00:00"/>
    <d v="2025-09-13T00:00:00"/>
    <s v="Active"/>
  </r>
  <r>
    <n v="206"/>
    <d v="2025-07-21T00:00:00"/>
    <s v="M099"/>
    <s v="Pritha Saha"/>
    <n v="1000"/>
    <s v="Monthly"/>
    <s v="Cash"/>
    <x v="0"/>
    <d v="2025-07-01T00:00:00"/>
    <d v="2025-08-20T00:00:00"/>
    <s v="At Risk"/>
  </r>
  <r>
    <n v="207"/>
    <d v="2025-03-18T00:00:00"/>
    <s v="M100"/>
    <s v="Prithwi Das"/>
    <n v="1000"/>
    <s v="Monthly"/>
    <s v="Cash"/>
    <x v="0"/>
    <d v="2025-03-01T00:00:00"/>
    <d v="2025-04-17T00:00:00"/>
    <s v="Churn Risk"/>
  </r>
  <r>
    <n v="208"/>
    <d v="2025-05-22T00:00:00"/>
    <s v="M100"/>
    <s v="Prithwi Das"/>
    <n v="1000"/>
    <s v="Monthly"/>
    <s v="Cash"/>
    <x v="0"/>
    <d v="2025-05-01T00:00:00"/>
    <d v="2025-06-21T00:00:00"/>
    <s v="Churn Risk"/>
  </r>
  <r>
    <n v="209"/>
    <d v="2025-06-21T00:00:00"/>
    <s v="M100"/>
    <s v="Prithwi Das"/>
    <n v="4200"/>
    <s v="3 Months"/>
    <s v="Cash"/>
    <x v="0"/>
    <d v="2025-06-01T00:00:00"/>
    <d v="2025-09-19T00:00:00"/>
    <s v="Active"/>
  </r>
  <r>
    <n v="210"/>
    <d v="2025-06-07T00:00:00"/>
    <s v="M101"/>
    <s v="Priti Deb"/>
    <n v="1000"/>
    <s v="Monthly"/>
    <s v="Cash"/>
    <x v="0"/>
    <d v="2025-06-01T00:00:00"/>
    <d v="2025-07-07T00:00:00"/>
    <s v="Churn Risk"/>
  </r>
  <r>
    <n v="211"/>
    <d v="2025-07-14T00:00:00"/>
    <s v="M101"/>
    <s v="Priti Deb"/>
    <n v="1000"/>
    <s v="Monthly"/>
    <s v="Google Pay"/>
    <x v="0"/>
    <d v="2025-07-01T00:00:00"/>
    <d v="2025-08-13T00:00:00"/>
    <s v="At Risk"/>
  </r>
  <r>
    <n v="212"/>
    <d v="2025-04-10T00:00:00"/>
    <s v="M102"/>
    <s v="Priyam Saha"/>
    <n v="600"/>
    <s v="Monthly"/>
    <s v="Cash"/>
    <x v="0"/>
    <d v="2025-04-01T00:00:00"/>
    <d v="2025-05-10T00:00:00"/>
    <s v="Churn Risk"/>
  </r>
  <r>
    <n v="213"/>
    <d v="2025-07-10T00:00:00"/>
    <s v="M102"/>
    <s v="Priyam Saha"/>
    <n v="1000"/>
    <s v="Monthly"/>
    <s v="Cash"/>
    <x v="0"/>
    <d v="2025-07-01T00:00:00"/>
    <d v="2025-08-09T00:00:00"/>
    <s v="At Risk"/>
  </r>
  <r>
    <n v="214"/>
    <d v="2025-07-29T00:00:00"/>
    <s v="M102"/>
    <s v="Priyam Saha"/>
    <n v="600"/>
    <s v="Monthly"/>
    <s v="Cash"/>
    <x v="0"/>
    <d v="2025-07-01T00:00:00"/>
    <d v="2025-08-28T00:00:00"/>
    <s v="At Risk"/>
  </r>
  <r>
    <n v="215"/>
    <d v="2025-04-06T00:00:00"/>
    <s v="M103"/>
    <s v="Priyanka Sen"/>
    <n v="1000"/>
    <s v="Monthly"/>
    <s v="Cash"/>
    <x v="0"/>
    <d v="2025-04-01T00:00:00"/>
    <d v="2025-05-06T00:00:00"/>
    <s v="Churn Risk"/>
  </r>
  <r>
    <n v="216"/>
    <d v="2025-08-06T00:00:00"/>
    <s v="M104"/>
    <s v="Priyanka Sharma"/>
    <n v="1000"/>
    <s v="Monthly"/>
    <s v="Google Pay"/>
    <x v="0"/>
    <d v="2025-08-01T00:00:00"/>
    <d v="2025-09-05T00:00:00"/>
    <s v="Active"/>
  </r>
  <r>
    <n v="217"/>
    <d v="2025-03-06T00:00:00"/>
    <s v="M105"/>
    <s v="Rahul Choudhury"/>
    <n v="4500"/>
    <s v="3 Months"/>
    <s v="Cash"/>
    <x v="1"/>
    <d v="2025-03-01T00:00:00"/>
    <d v="2025-06-04T00:00:00"/>
    <s v="Churn Risk"/>
  </r>
  <r>
    <n v="218"/>
    <d v="2025-06-11T00:00:00"/>
    <s v="M106"/>
    <s v="Rahul Majumder"/>
    <n v="1000"/>
    <s v="Monthly"/>
    <s v="Cash"/>
    <x v="0"/>
    <d v="2025-06-01T00:00:00"/>
    <d v="2025-07-11T00:00:00"/>
    <s v="Churn Risk"/>
  </r>
  <r>
    <n v="219"/>
    <d v="2025-07-12T00:00:00"/>
    <s v="M106"/>
    <s v="Rahul Majumder"/>
    <n v="1000"/>
    <s v="Monthly"/>
    <s v="Cash"/>
    <x v="0"/>
    <d v="2025-07-01T00:00:00"/>
    <d v="2025-08-11T00:00:00"/>
    <s v="At Risk"/>
  </r>
  <r>
    <n v="220"/>
    <d v="2025-03-25T00:00:00"/>
    <s v="M107"/>
    <s v="Rajat Karmakar"/>
    <n v="4000"/>
    <s v="3 Months"/>
    <s v="Google Pay"/>
    <x v="0"/>
    <d v="2025-03-01T00:00:00"/>
    <d v="2025-06-23T00:00:00"/>
    <s v="Churn Risk"/>
  </r>
  <r>
    <n v="221"/>
    <d v="2025-03-04T00:00:00"/>
    <s v="M108"/>
    <s v="Rajat Saha"/>
    <n v="1000"/>
    <s v="Monthly"/>
    <s v="Google Pay"/>
    <x v="0"/>
    <d v="2025-03-01T00:00:00"/>
    <d v="2025-04-03T00:00:00"/>
    <s v="Churn Risk"/>
  </r>
  <r>
    <n v="222"/>
    <d v="2025-04-05T00:00:00"/>
    <s v="M108"/>
    <s v="Rajat Saha"/>
    <n v="1000"/>
    <s v="Monthly"/>
    <s v="Google Pay"/>
    <x v="0"/>
    <d v="2025-04-01T00:00:00"/>
    <d v="2025-05-05T00:00:00"/>
    <s v="Churn Risk"/>
  </r>
  <r>
    <n v="223"/>
    <d v="2025-06-04T00:00:00"/>
    <s v="M108"/>
    <s v="Rajat Saha"/>
    <n v="1000"/>
    <s v="Monthly"/>
    <s v="Google Pay"/>
    <x v="0"/>
    <d v="2025-06-01T00:00:00"/>
    <d v="2025-07-04T00:00:00"/>
    <s v="Churn Risk"/>
  </r>
  <r>
    <n v="224"/>
    <d v="2025-05-07T00:00:00"/>
    <s v="M108"/>
    <s v="Rajat Saha"/>
    <n v="1000"/>
    <s v="Monthly"/>
    <s v="Google Pay"/>
    <x v="0"/>
    <d v="2025-05-01T00:00:00"/>
    <d v="2025-06-06T00:00:00"/>
    <s v="Churn Risk"/>
  </r>
  <r>
    <n v="225"/>
    <d v="2025-07-04T00:00:00"/>
    <s v="M108"/>
    <s v="Rajat Saha"/>
    <n v="1000"/>
    <s v="Monthly"/>
    <s v="Cash"/>
    <x v="0"/>
    <d v="2025-07-01T00:00:00"/>
    <d v="2025-08-03T00:00:00"/>
    <s v="At Risk"/>
  </r>
  <r>
    <n v="226"/>
    <d v="2025-06-24T00:00:00"/>
    <s v="M109"/>
    <s v="Rajdeep Majumder"/>
    <n v="800"/>
    <s v="Monthly"/>
    <s v="Cash"/>
    <x v="0"/>
    <d v="2025-06-01T00:00:00"/>
    <d v="2025-07-24T00:00:00"/>
    <s v="Churn Risk"/>
  </r>
  <r>
    <n v="227"/>
    <d v="2025-08-05T00:00:00"/>
    <s v="M110"/>
    <s v="Rajkumar Subhajit Singha"/>
    <n v="2000"/>
    <s v="Monthly"/>
    <s v="Google Pay"/>
    <x v="1"/>
    <d v="2025-08-01T00:00:00"/>
    <d v="2025-09-04T00:00:00"/>
    <s v="Active"/>
  </r>
  <r>
    <n v="228"/>
    <d v="2025-05-07T00:00:00"/>
    <s v="M111"/>
    <s v="Rakhi Dhar"/>
    <n v="800"/>
    <s v="Monthly"/>
    <s v="Cash"/>
    <x v="0"/>
    <d v="2025-05-01T00:00:00"/>
    <d v="2025-06-06T00:00:00"/>
    <s v="Churn Risk"/>
  </r>
  <r>
    <n v="229"/>
    <d v="2025-07-11T00:00:00"/>
    <s v="M111"/>
    <s v="Rakhi Dhar"/>
    <n v="800"/>
    <s v="Monthly"/>
    <s v="Cash"/>
    <x v="0"/>
    <d v="2025-07-01T00:00:00"/>
    <d v="2025-08-10T00:00:00"/>
    <s v="At Risk"/>
  </r>
  <r>
    <n v="230"/>
    <d v="2025-04-11T00:00:00"/>
    <s v="M111"/>
    <s v="Rakhi Dhar"/>
    <n v="800"/>
    <s v="Monthly"/>
    <s v="Cash"/>
    <x v="0"/>
    <d v="2025-04-01T00:00:00"/>
    <d v="2025-05-11T00:00:00"/>
    <s v="Churn Risk"/>
  </r>
  <r>
    <n v="231"/>
    <d v="2025-03-22T00:00:00"/>
    <s v="M111"/>
    <s v="Rakhi Dhar"/>
    <n v="800"/>
    <s v="Monthly"/>
    <s v="Cash"/>
    <x v="0"/>
    <d v="2025-03-01T00:00:00"/>
    <d v="2025-04-21T00:00:00"/>
    <s v="Churn Risk"/>
  </r>
  <r>
    <n v="232"/>
    <d v="2025-05-06T00:00:00"/>
    <s v="M112"/>
    <s v="Ranik Singha"/>
    <n v="1000"/>
    <s v="Monthly"/>
    <s v="Cash"/>
    <x v="0"/>
    <d v="2025-05-01T00:00:00"/>
    <d v="2025-06-05T00:00:00"/>
    <s v="Churn Risk"/>
  </r>
  <r>
    <n v="233"/>
    <d v="2025-03-05T00:00:00"/>
    <s v="M112"/>
    <s v="Ranik Singha"/>
    <n v="1000"/>
    <s v="Monthly"/>
    <s v="Cash"/>
    <x v="0"/>
    <d v="2025-03-01T00:00:00"/>
    <d v="2025-04-04T00:00:00"/>
    <s v="Churn Risk"/>
  </r>
  <r>
    <n v="234"/>
    <d v="2025-06-09T00:00:00"/>
    <s v="M112"/>
    <s v="Ranik Singha"/>
    <n v="1000"/>
    <s v="Monthly"/>
    <s v="Cash"/>
    <x v="0"/>
    <d v="2025-06-01T00:00:00"/>
    <d v="2025-07-09T00:00:00"/>
    <s v="Churn Risk"/>
  </r>
  <r>
    <n v="235"/>
    <d v="2025-08-14T00:00:00"/>
    <s v="M112"/>
    <s v="Ranik Singha"/>
    <n v="1000"/>
    <s v="Monthly"/>
    <s v="Cash"/>
    <x v="0"/>
    <d v="2025-08-01T00:00:00"/>
    <d v="2025-09-13T00:00:00"/>
    <s v="Active"/>
  </r>
  <r>
    <n v="236"/>
    <d v="2025-08-05T00:00:00"/>
    <s v="M113"/>
    <s v="Rashmi Saha"/>
    <n v="500"/>
    <s v="Monthly"/>
    <s v="Google Pay"/>
    <x v="0"/>
    <d v="2025-08-01T00:00:00"/>
    <d v="2025-09-04T00:00:00"/>
    <s v="Active"/>
  </r>
  <r>
    <n v="237"/>
    <d v="2025-04-11T00:00:00"/>
    <s v="M114"/>
    <s v="Ratnadeep Paul"/>
    <n v="2400"/>
    <s v="3 Months"/>
    <s v="Google Pay"/>
    <x v="0"/>
    <d v="2025-04-01T00:00:00"/>
    <d v="2025-07-10T00:00:00"/>
    <s v="Churn Risk"/>
  </r>
  <r>
    <n v="238"/>
    <d v="2025-05-12T00:00:00"/>
    <s v="M115"/>
    <s v="Ratnajit Das"/>
    <n v="2000"/>
    <s v="Monthly"/>
    <s v="Google Pay"/>
    <x v="0"/>
    <d v="2025-05-01T00:00:00"/>
    <d v="2025-06-11T00:00:00"/>
    <s v="Churn Risk"/>
  </r>
  <r>
    <n v="239"/>
    <d v="2025-03-21T00:00:00"/>
    <s v="M115"/>
    <s v="Ratnajit Das"/>
    <n v="1000"/>
    <s v="Monthly"/>
    <s v="Google Pay"/>
    <x v="0"/>
    <d v="2025-03-01T00:00:00"/>
    <d v="2025-04-20T00:00:00"/>
    <s v="Churn Risk"/>
  </r>
  <r>
    <n v="240"/>
    <d v="2025-04-14T00:00:00"/>
    <s v="M116"/>
    <s v="Reshmi Debnath"/>
    <n v="1000"/>
    <s v="Monthly"/>
    <s v="Cash"/>
    <x v="0"/>
    <d v="2025-04-01T00:00:00"/>
    <d v="2025-05-14T00:00:00"/>
    <s v="Churn Risk"/>
  </r>
  <r>
    <n v="241"/>
    <d v="2025-03-01T00:00:00"/>
    <s v="M117"/>
    <s v="Ripan Das"/>
    <n v="1000"/>
    <s v="Monthly"/>
    <s v="Google Pay"/>
    <x v="0"/>
    <d v="2025-03-01T00:00:00"/>
    <d v="2025-03-31T00:00:00"/>
    <s v="Churn Risk"/>
  </r>
  <r>
    <n v="242"/>
    <d v="2025-05-13T00:00:00"/>
    <s v="M117"/>
    <s v="Ripan Das"/>
    <n v="1000"/>
    <s v="Monthly"/>
    <s v="Google Pay"/>
    <x v="0"/>
    <d v="2025-05-01T00:00:00"/>
    <d v="2025-06-12T00:00:00"/>
    <s v="Churn Risk"/>
  </r>
  <r>
    <n v="243"/>
    <d v="2025-07-09T00:00:00"/>
    <s v="M117"/>
    <s v="Ripan Das"/>
    <n v="1000"/>
    <s v="Monthly"/>
    <s v="Google Pay"/>
    <x v="0"/>
    <d v="2025-07-01T00:00:00"/>
    <d v="2025-08-08T00:00:00"/>
    <s v="At Risk"/>
  </r>
  <r>
    <n v="244"/>
    <d v="2025-08-18T00:00:00"/>
    <s v="M117"/>
    <s v="Ripan Das"/>
    <n v="1000"/>
    <s v="Monthly"/>
    <s v="Cash"/>
    <x v="0"/>
    <d v="2025-08-01T00:00:00"/>
    <d v="2025-09-17T00:00:00"/>
    <s v="Active"/>
  </r>
  <r>
    <n v="245"/>
    <d v="2025-04-01T00:00:00"/>
    <s v="M117"/>
    <s v="Ripan Das"/>
    <n v="1000"/>
    <s v="Monthly"/>
    <s v="Cash"/>
    <x v="0"/>
    <d v="2025-04-01T00:00:00"/>
    <d v="2025-05-01T00:00:00"/>
    <s v="Churn Risk"/>
  </r>
  <r>
    <n v="246"/>
    <d v="2025-06-23T00:00:00"/>
    <s v="M117"/>
    <s v="Ripan Das"/>
    <n v="1000"/>
    <s v="Monthly"/>
    <s v="Cash"/>
    <x v="0"/>
    <d v="2025-06-01T00:00:00"/>
    <d v="2025-07-23T00:00:00"/>
    <s v="Churn Risk"/>
  </r>
  <r>
    <n v="247"/>
    <d v="2025-07-21T00:00:00"/>
    <s v="M118"/>
    <s v="Romeo Singha"/>
    <n v="2400"/>
    <s v="3 Months"/>
    <s v="Google Pay"/>
    <x v="0"/>
    <d v="2025-07-01T00:00:00"/>
    <d v="2025-10-19T00:00:00"/>
    <s v="Active"/>
  </r>
  <r>
    <n v="248"/>
    <d v="2025-08-12T00:00:00"/>
    <s v="M119"/>
    <s v="Rose Pinera"/>
    <n v="1000"/>
    <s v="Monthly"/>
    <s v="Cash"/>
    <x v="0"/>
    <d v="2025-08-01T00:00:00"/>
    <d v="2025-09-11T00:00:00"/>
    <s v="Active"/>
  </r>
  <r>
    <n v="249"/>
    <d v="2025-05-26T00:00:00"/>
    <s v="M120"/>
    <s v="Rupali Bhattacharjee"/>
    <n v="1000"/>
    <s v="Monthly"/>
    <s v="Google Pay"/>
    <x v="0"/>
    <d v="2025-05-01T00:00:00"/>
    <d v="2025-06-25T00:00:00"/>
    <s v="Churn Risk"/>
  </r>
  <r>
    <n v="250"/>
    <d v="2025-05-28T00:00:00"/>
    <s v="M121"/>
    <s v="S.S. Rama"/>
    <n v="700"/>
    <s v="Monthly"/>
    <s v="Cash"/>
    <x v="0"/>
    <d v="2025-05-01T00:00:00"/>
    <d v="2025-06-27T00:00:00"/>
    <s v="Churn Risk"/>
  </r>
  <r>
    <n v="251"/>
    <d v="2025-04-21T00:00:00"/>
    <s v="M121"/>
    <s v="S.S. Rama"/>
    <n v="700"/>
    <s v="Monthly"/>
    <s v="Cash"/>
    <x v="0"/>
    <d v="2025-04-01T00:00:00"/>
    <d v="2025-05-21T00:00:00"/>
    <s v="Churn Risk"/>
  </r>
  <r>
    <n v="252"/>
    <d v="2025-08-04T00:00:00"/>
    <s v="M122"/>
    <s v="Sagar Das"/>
    <n v="1000"/>
    <s v="Monthly"/>
    <s v="Cash"/>
    <x v="0"/>
    <d v="2025-08-01T00:00:00"/>
    <d v="2025-09-03T00:00:00"/>
    <s v="Active"/>
  </r>
  <r>
    <n v="253"/>
    <d v="2025-06-25T00:00:00"/>
    <s v="M123"/>
    <s v="Sagarika Banik "/>
    <n v="2000"/>
    <s v="Monthly"/>
    <s v="Cash"/>
    <x v="1"/>
    <d v="2025-06-01T00:00:00"/>
    <d v="2025-07-25T00:00:00"/>
    <s v="Churn Risk"/>
  </r>
  <r>
    <n v="254"/>
    <d v="2025-03-13T00:00:00"/>
    <s v="M124"/>
    <s v="Sagarika Das"/>
    <n v="4000"/>
    <s v="3 Months"/>
    <s v="Google Pay"/>
    <x v="0"/>
    <d v="2025-03-01T00:00:00"/>
    <d v="2025-06-11T00:00:00"/>
    <s v="Churn Risk"/>
  </r>
  <r>
    <n v="255"/>
    <d v="2025-08-01T00:00:00"/>
    <s v="M125"/>
    <s v="Sahil Singh"/>
    <n v="1000"/>
    <s v="Monthly"/>
    <s v="Google Pay"/>
    <x v="0"/>
    <d v="2025-08-01T00:00:00"/>
    <d v="2025-08-31T00:00:00"/>
    <s v="Active"/>
  </r>
  <r>
    <n v="256"/>
    <d v="2025-03-10T00:00:00"/>
    <s v="M125"/>
    <s v="Sahil Singh"/>
    <n v="1000"/>
    <s v="Monthly"/>
    <s v="Google Pay"/>
    <x v="0"/>
    <d v="2025-03-01T00:00:00"/>
    <d v="2025-04-09T00:00:00"/>
    <s v="Churn Risk"/>
  </r>
  <r>
    <n v="257"/>
    <d v="2025-03-19T00:00:00"/>
    <s v="M126"/>
    <s v="Saikat Saha"/>
    <n v="1000"/>
    <s v="Monthly"/>
    <s v="Google Pay"/>
    <x v="0"/>
    <d v="2025-03-01T00:00:00"/>
    <d v="2025-04-18T00:00:00"/>
    <s v="Churn Risk"/>
  </r>
  <r>
    <n v="258"/>
    <d v="2025-04-21T00:00:00"/>
    <s v="M126"/>
    <s v="Saikat Saha"/>
    <n v="2400"/>
    <s v="3 Months"/>
    <s v="Cash"/>
    <x v="0"/>
    <d v="2025-04-01T00:00:00"/>
    <d v="2025-07-20T00:00:00"/>
    <s v="Churn Risk"/>
  </r>
  <r>
    <n v="259"/>
    <d v="2025-07-29T00:00:00"/>
    <s v="M126"/>
    <s v="Saikat Saha"/>
    <n v="1000"/>
    <s v="Monthly"/>
    <s v="Cash"/>
    <x v="0"/>
    <d v="2025-07-01T00:00:00"/>
    <d v="2025-08-28T00:00:00"/>
    <s v="At Risk"/>
  </r>
  <r>
    <n v="260"/>
    <d v="2025-03-10T00:00:00"/>
    <s v="M127"/>
    <s v="Sampa Majumder"/>
    <n v="1000"/>
    <s v="Monthly"/>
    <s v="Google Pay"/>
    <x v="0"/>
    <d v="2025-03-01T00:00:00"/>
    <d v="2025-04-09T00:00:00"/>
    <s v="Churn Risk"/>
  </r>
  <r>
    <n v="261"/>
    <d v="2025-04-19T00:00:00"/>
    <s v="M127"/>
    <s v="Sampa Majumder"/>
    <n v="1000"/>
    <s v="Monthly"/>
    <s v="Cash"/>
    <x v="0"/>
    <d v="2025-04-01T00:00:00"/>
    <d v="2025-05-19T00:00:00"/>
    <s v="Churn Risk"/>
  </r>
  <r>
    <n v="262"/>
    <d v="2025-05-08T00:00:00"/>
    <s v="M128"/>
    <s v="Samrat Kumar Sinha"/>
    <n v="1000"/>
    <s v="Monthly"/>
    <s v="Google Pay"/>
    <x v="0"/>
    <d v="2025-05-01T00:00:00"/>
    <d v="2025-06-07T00:00:00"/>
    <s v="Churn Risk"/>
  </r>
  <r>
    <n v="263"/>
    <d v="2025-07-01T00:00:00"/>
    <s v="M129"/>
    <s v="Sani Debnath"/>
    <n v="1000"/>
    <s v="Monthly"/>
    <s v="Google Pay"/>
    <x v="0"/>
    <d v="2025-07-01T00:00:00"/>
    <d v="2025-07-31T00:00:00"/>
    <s v="Churn Risk"/>
  </r>
  <r>
    <n v="264"/>
    <d v="2025-04-12T00:00:00"/>
    <s v="M129"/>
    <s v="Sani Debnath"/>
    <n v="1000"/>
    <s v="Monthly"/>
    <s v="Google Pay"/>
    <x v="0"/>
    <d v="2025-04-01T00:00:00"/>
    <d v="2025-05-12T00:00:00"/>
    <s v="Churn Risk"/>
  </r>
  <r>
    <n v="265"/>
    <d v="2025-03-10T00:00:00"/>
    <s v="M129"/>
    <s v="Sani Debnath"/>
    <n v="1000"/>
    <s v="Monthly"/>
    <s v="Google Pay"/>
    <x v="0"/>
    <d v="2025-03-01T00:00:00"/>
    <d v="2025-04-09T00:00:00"/>
    <s v="Churn Risk"/>
  </r>
  <r>
    <n v="266"/>
    <d v="2025-05-14T00:00:00"/>
    <s v="M129"/>
    <s v="Sani Debnath"/>
    <n v="1000"/>
    <s v="Monthly"/>
    <s v="Google Pay"/>
    <x v="0"/>
    <d v="2025-05-01T00:00:00"/>
    <d v="2025-06-13T00:00:00"/>
    <s v="Churn Risk"/>
  </r>
  <r>
    <n v="267"/>
    <d v="2025-04-14T00:00:00"/>
    <s v="M130"/>
    <s v="Sani Sutradhar"/>
    <n v="1000"/>
    <s v="Monthly"/>
    <s v="Google Pay"/>
    <x v="0"/>
    <d v="2025-04-01T00:00:00"/>
    <d v="2025-05-14T00:00:00"/>
    <s v="Churn Risk"/>
  </r>
  <r>
    <n v="268"/>
    <d v="2025-08-11T00:00:00"/>
    <s v="M131"/>
    <s v="Sanjay Ghosh"/>
    <n v="1000"/>
    <s v="Monthly"/>
    <s v="Google Pay"/>
    <x v="0"/>
    <d v="2025-08-01T00:00:00"/>
    <d v="2025-09-10T00:00:00"/>
    <s v="Active"/>
  </r>
  <r>
    <n v="269"/>
    <d v="2025-08-05T00:00:00"/>
    <s v="M132"/>
    <s v="Sanjay Saha"/>
    <n v="500"/>
    <s v="Monthly"/>
    <s v="Google Pay"/>
    <x v="0"/>
    <d v="2025-08-01T00:00:00"/>
    <d v="2025-09-04T00:00:00"/>
    <s v="Active"/>
  </r>
  <r>
    <n v="270"/>
    <d v="2025-03-12T00:00:00"/>
    <s v="M132"/>
    <s v="Sanjay Saha"/>
    <n v="1000"/>
    <s v="Monthly"/>
    <s v="Cash"/>
    <x v="0"/>
    <d v="2025-03-01T00:00:00"/>
    <d v="2025-04-11T00:00:00"/>
    <s v="Churn Risk"/>
  </r>
  <r>
    <n v="271"/>
    <d v="2025-07-07T00:00:00"/>
    <s v="M133"/>
    <s v="Sanu Das"/>
    <n v="1000"/>
    <s v="Monthly"/>
    <s v="Cash"/>
    <x v="0"/>
    <d v="2025-07-01T00:00:00"/>
    <d v="2025-08-06T00:00:00"/>
    <s v="At Risk"/>
  </r>
  <r>
    <n v="272"/>
    <d v="2025-08-11T00:00:00"/>
    <s v="M134"/>
    <s v="Sapta Debroy"/>
    <n v="1000"/>
    <s v="Monthly"/>
    <s v="Cash"/>
    <x v="0"/>
    <d v="2025-08-01T00:00:00"/>
    <d v="2025-09-10T00:00:00"/>
    <s v="Active"/>
  </r>
  <r>
    <n v="273"/>
    <d v="2025-07-10T00:00:00"/>
    <s v="M134"/>
    <s v="Sapta Debroy"/>
    <n v="1000"/>
    <s v="Monthly"/>
    <s v="Google Pay"/>
    <x v="0"/>
    <d v="2025-07-01T00:00:00"/>
    <d v="2025-08-09T00:00:00"/>
    <s v="At Risk"/>
  </r>
  <r>
    <n v="274"/>
    <d v="2025-07-21T00:00:00"/>
    <s v="M135"/>
    <s v="Sarat Kar Yadabh"/>
    <n v="1000"/>
    <s v="Monthly"/>
    <s v="Cash"/>
    <x v="0"/>
    <d v="2025-07-01T00:00:00"/>
    <d v="2025-08-20T00:00:00"/>
    <s v="At Risk"/>
  </r>
  <r>
    <n v="275"/>
    <d v="2025-08-19T00:00:00"/>
    <s v="M136"/>
    <s v="Sarita Roy"/>
    <n v="2400"/>
    <s v="3 Months"/>
    <s v="Google Pay"/>
    <x v="0"/>
    <d v="2025-08-01T00:00:00"/>
    <d v="2025-11-17T00:00:00"/>
    <s v="Active"/>
  </r>
  <r>
    <n v="276"/>
    <d v="2025-05-19T00:00:00"/>
    <s v="M137"/>
    <s v="Sarmistha Saha"/>
    <n v="800"/>
    <s v="Monthly"/>
    <s v="Cash"/>
    <x v="0"/>
    <d v="2025-05-01T00:00:00"/>
    <d v="2025-06-18T00:00:00"/>
    <s v="Churn Risk"/>
  </r>
  <r>
    <n v="277"/>
    <d v="2025-03-24T00:00:00"/>
    <s v="M137"/>
    <s v="Sarmistha Saha"/>
    <n v="800"/>
    <s v="Monthly"/>
    <s v="Cash"/>
    <x v="0"/>
    <d v="2025-03-01T00:00:00"/>
    <d v="2025-04-23T00:00:00"/>
    <s v="Churn Risk"/>
  </r>
  <r>
    <n v="278"/>
    <d v="2025-05-20T00:00:00"/>
    <s v="M138"/>
    <s v="Satrajit Datta"/>
    <n v="1000"/>
    <s v="Monthly"/>
    <s v="Cash"/>
    <x v="0"/>
    <d v="2025-05-01T00:00:00"/>
    <d v="2025-06-19T00:00:00"/>
    <s v="Churn Risk"/>
  </r>
  <r>
    <n v="279"/>
    <d v="2025-06-23T00:00:00"/>
    <s v="M138"/>
    <s v="Satrajit Datta"/>
    <n v="1000"/>
    <s v="Monthly"/>
    <s v="Google Pay"/>
    <x v="0"/>
    <d v="2025-06-01T00:00:00"/>
    <d v="2025-07-23T00:00:00"/>
    <s v="Churn Risk"/>
  </r>
  <r>
    <n v="280"/>
    <d v="2025-06-05T00:00:00"/>
    <s v="M139"/>
    <s v="Sayan Ghosh"/>
    <n v="2000"/>
    <s v="Monthly"/>
    <s v="Google Pay"/>
    <x v="1"/>
    <d v="2025-06-01T00:00:00"/>
    <d v="2025-07-05T00:00:00"/>
    <s v="Churn Risk"/>
  </r>
  <r>
    <n v="281"/>
    <d v="2025-04-22T00:00:00"/>
    <s v="M139"/>
    <s v="Sayan Ghosh"/>
    <n v="1000"/>
    <s v="Monthly"/>
    <s v="Cash"/>
    <x v="0"/>
    <d v="2025-04-01T00:00:00"/>
    <d v="2025-05-22T00:00:00"/>
    <s v="Churn Risk"/>
  </r>
  <r>
    <n v="282"/>
    <d v="2025-03-13T00:00:00"/>
    <s v="M140"/>
    <s v="Sayan Goswami"/>
    <n v="4000"/>
    <s v="3 Months"/>
    <s v="Google Pay"/>
    <x v="0"/>
    <d v="2025-03-01T00:00:00"/>
    <d v="2025-06-11T00:00:00"/>
    <s v="Churn Risk"/>
  </r>
  <r>
    <n v="283"/>
    <d v="2025-04-10T00:00:00"/>
    <s v="M141"/>
    <s v="Sayan Rudra Paul"/>
    <n v="1000"/>
    <s v="Monthly"/>
    <s v="Google Pay"/>
    <x v="0"/>
    <d v="2025-04-01T00:00:00"/>
    <d v="2025-05-10T00:00:00"/>
    <s v="Churn Risk"/>
  </r>
  <r>
    <n v="284"/>
    <d v="2025-08-11T00:00:00"/>
    <s v="M142"/>
    <s v="Saykajit Roy"/>
    <n v="1000"/>
    <s v="Monthly"/>
    <s v="Cash"/>
    <x v="0"/>
    <d v="2025-08-01T00:00:00"/>
    <d v="2025-09-10T00:00:00"/>
    <s v="Active"/>
  </r>
  <r>
    <n v="285"/>
    <d v="2025-07-01T00:00:00"/>
    <s v="M143"/>
    <s v="Shakti Saha"/>
    <n v="4000"/>
    <s v="3 Months"/>
    <s v="Google Pay"/>
    <x v="1"/>
    <d v="2025-07-01T00:00:00"/>
    <d v="2025-09-29T00:00:00"/>
    <s v="Active"/>
  </r>
  <r>
    <n v="286"/>
    <d v="2025-04-18T00:00:00"/>
    <s v="M144"/>
    <s v="Shakya Barman"/>
    <n v="1800"/>
    <s v="Monthly"/>
    <s v="Google Pay"/>
    <x v="0"/>
    <d v="2025-04-01T00:00:00"/>
    <d v="2025-05-18T00:00:00"/>
    <s v="Churn Risk"/>
  </r>
  <r>
    <n v="287"/>
    <d v="2025-03-04T00:00:00"/>
    <s v="M145"/>
    <s v="Shaptadeep Debnath"/>
    <n v="1000"/>
    <s v="Monthly"/>
    <s v="Google Pay"/>
    <x v="0"/>
    <d v="2025-03-01T00:00:00"/>
    <d v="2025-04-03T00:00:00"/>
    <s v="Churn Risk"/>
  </r>
  <r>
    <n v="288"/>
    <d v="2025-04-11T00:00:00"/>
    <s v="M145"/>
    <s v="Shaptadeep Debnath"/>
    <n v="1000"/>
    <s v="Monthly"/>
    <s v="Google Pay"/>
    <x v="0"/>
    <d v="2025-04-01T00:00:00"/>
    <d v="2025-05-11T00:00:00"/>
    <s v="Churn Risk"/>
  </r>
  <r>
    <n v="289"/>
    <d v="2025-04-04T00:00:00"/>
    <s v="M146"/>
    <s v="Sharbani Das"/>
    <n v="5000"/>
    <s v="6 Months"/>
    <s v="Google Pay"/>
    <x v="0"/>
    <d v="2025-04-01T00:00:00"/>
    <d v="2025-10-01T00:00:00"/>
    <s v="Active"/>
  </r>
  <r>
    <n v="290"/>
    <d v="2025-06-17T00:00:00"/>
    <s v="M146"/>
    <s v="Sharbani Das"/>
    <n v="4000"/>
    <s v="3 Months"/>
    <s v="Google Pay"/>
    <x v="1"/>
    <d v="2025-06-01T00:00:00"/>
    <d v="2025-09-15T00:00:00"/>
    <s v="Active"/>
  </r>
  <r>
    <n v="291"/>
    <d v="2025-07-05T00:00:00"/>
    <s v="M147"/>
    <s v="Shilpar Ghosh"/>
    <n v="3000"/>
    <s v="3 Months"/>
    <s v="Google Pay"/>
    <x v="1"/>
    <d v="2025-07-01T00:00:00"/>
    <d v="2025-10-03T00:00:00"/>
    <s v="Active"/>
  </r>
  <r>
    <n v="292"/>
    <d v="2025-08-01T00:00:00"/>
    <s v="M148"/>
    <s v="Shreyaskar Chakraborty"/>
    <n v="1000"/>
    <s v="Monthly"/>
    <s v="Cash"/>
    <x v="0"/>
    <d v="2025-08-01T00:00:00"/>
    <d v="2025-08-31T00:00:00"/>
    <s v="Active"/>
  </r>
  <r>
    <n v="293"/>
    <d v="2025-03-11T00:00:00"/>
    <s v="M148"/>
    <s v="Shreyaskar Chakraborty"/>
    <n v="1000"/>
    <s v="Monthly"/>
    <s v="Google Pay"/>
    <x v="0"/>
    <d v="2025-03-01T00:00:00"/>
    <d v="2025-04-10T00:00:00"/>
    <s v="Churn Risk"/>
  </r>
  <r>
    <n v="294"/>
    <d v="2025-05-21T00:00:00"/>
    <s v="M148"/>
    <s v="Shreyaskar Chakraborty"/>
    <n v="1000"/>
    <s v="Monthly"/>
    <s v="Google Pay"/>
    <x v="0"/>
    <d v="2025-05-01T00:00:00"/>
    <d v="2025-06-20T00:00:00"/>
    <s v="Churn Risk"/>
  </r>
  <r>
    <n v="295"/>
    <d v="2025-04-14T00:00:00"/>
    <s v="M148"/>
    <s v="Shreyaskar Chakraborty"/>
    <n v="1000"/>
    <s v="Monthly"/>
    <s v="Google Pay"/>
    <x v="0"/>
    <d v="2025-04-01T00:00:00"/>
    <d v="2025-05-14T00:00:00"/>
    <s v="Churn Risk"/>
  </r>
  <r>
    <n v="296"/>
    <d v="2025-06-09T00:00:00"/>
    <s v="M149"/>
    <s v="Shristy Das"/>
    <n v="1000"/>
    <s v="Monthly"/>
    <s v="Cash"/>
    <x v="0"/>
    <d v="2025-06-01T00:00:00"/>
    <d v="2025-07-09T00:00:00"/>
    <s v="Churn Risk"/>
  </r>
  <r>
    <n v="297"/>
    <d v="2025-07-01T00:00:00"/>
    <s v="M150"/>
    <s v="Shubhajyoti Datta"/>
    <n v="1000"/>
    <s v="Monthly"/>
    <s v="Google Pay"/>
    <x v="0"/>
    <d v="2025-07-01T00:00:00"/>
    <d v="2025-07-31T00:00:00"/>
    <s v="Churn Risk"/>
  </r>
  <r>
    <n v="298"/>
    <d v="2025-07-01T00:00:00"/>
    <s v="M151"/>
    <s v="Shubhankar Chakraborty"/>
    <n v="1000"/>
    <s v="Monthly"/>
    <s v="Cash"/>
    <x v="0"/>
    <d v="2025-07-01T00:00:00"/>
    <d v="2025-07-31T00:00:00"/>
    <s v="Churn Risk"/>
  </r>
  <r>
    <n v="299"/>
    <d v="2025-03-29T00:00:00"/>
    <s v="M152"/>
    <s v="Shubhankar Deb"/>
    <n v="1000"/>
    <s v="Monthly"/>
    <s v="Cash"/>
    <x v="0"/>
    <d v="2025-03-01T00:00:00"/>
    <d v="2025-04-28T00:00:00"/>
    <s v="Churn Risk"/>
  </r>
  <r>
    <n v="300"/>
    <d v="2025-08-02T00:00:00"/>
    <s v="M153"/>
    <s v="Shubhjyoti Datta"/>
    <n v="1000"/>
    <s v="Monthly"/>
    <s v="Google Pay"/>
    <x v="0"/>
    <d v="2025-08-01T00:00:00"/>
    <d v="2025-09-01T00:00:00"/>
    <s v="Active"/>
  </r>
  <r>
    <n v="301"/>
    <d v="2025-04-04T00:00:00"/>
    <s v="M154"/>
    <s v="Shyamal Basfore"/>
    <n v="2500"/>
    <s v="3 Months"/>
    <s v="Google Pay"/>
    <x v="0"/>
    <d v="2025-04-01T00:00:00"/>
    <d v="2025-07-03T00:00:00"/>
    <s v="Churn Risk"/>
  </r>
  <r>
    <n v="302"/>
    <d v="2025-06-02T00:00:00"/>
    <s v="M155"/>
    <s v="Shyan Ghosh"/>
    <n v="1000"/>
    <s v="Monthly"/>
    <s v="Google Pay"/>
    <x v="0"/>
    <d v="2025-06-01T00:00:00"/>
    <d v="2025-07-02T00:00:00"/>
    <s v="Churn Risk"/>
  </r>
  <r>
    <n v="303"/>
    <d v="2025-03-07T00:00:00"/>
    <s v="M156"/>
    <s v="Soumitra Karmakar"/>
    <n v="1000"/>
    <s v="Monthly"/>
    <s v="Google Pay"/>
    <x v="0"/>
    <d v="2025-03-01T00:00:00"/>
    <d v="2025-04-06T00:00:00"/>
    <s v="Churn Risk"/>
  </r>
  <r>
    <n v="304"/>
    <d v="2025-05-14T00:00:00"/>
    <s v="M156"/>
    <s v="Soumitra Karmakar"/>
    <n v="1000"/>
    <s v="Monthly"/>
    <s v="Google Pay"/>
    <x v="0"/>
    <d v="2025-05-01T00:00:00"/>
    <d v="2025-06-13T00:00:00"/>
    <s v="Churn Risk"/>
  </r>
  <r>
    <n v="305"/>
    <d v="2025-04-14T00:00:00"/>
    <s v="M156"/>
    <s v="Soumitra Karmakar"/>
    <n v="1000"/>
    <s v="Monthly"/>
    <s v="Cash"/>
    <x v="0"/>
    <d v="2025-04-01T00:00:00"/>
    <d v="2025-05-14T00:00:00"/>
    <s v="Churn Risk"/>
  </r>
  <r>
    <n v="306"/>
    <d v="2025-08-14T00:00:00"/>
    <s v="M156"/>
    <s v="Soumitra Karmakar"/>
    <n v="1000"/>
    <s v="Monthly"/>
    <s v="Cash"/>
    <x v="0"/>
    <d v="2025-08-01T00:00:00"/>
    <d v="2025-09-13T00:00:00"/>
    <s v="Active"/>
  </r>
  <r>
    <n v="307"/>
    <d v="2025-07-17T00:00:00"/>
    <s v="M157"/>
    <s v="Sourab Shil"/>
    <n v="2000"/>
    <s v="Monthly"/>
    <s v="Google Pay"/>
    <x v="1"/>
    <d v="2025-07-01T00:00:00"/>
    <d v="2025-08-16T00:00:00"/>
    <s v="At Risk"/>
  </r>
  <r>
    <n v="308"/>
    <d v="2025-06-11T00:00:00"/>
    <s v="M158"/>
    <s v="Souradu Bikash Roy"/>
    <n v="1000"/>
    <s v="Monthly"/>
    <s v="Google Pay"/>
    <x v="0"/>
    <d v="2025-06-01T00:00:00"/>
    <d v="2025-07-11T00:00:00"/>
    <s v="Churn Risk"/>
  </r>
  <r>
    <n v="309"/>
    <d v="2025-07-14T00:00:00"/>
    <s v="M159"/>
    <s v="Souraj Barua"/>
    <n v="1000"/>
    <s v="Monthly"/>
    <s v="Cash"/>
    <x v="0"/>
    <d v="2025-07-01T00:00:00"/>
    <d v="2025-08-13T00:00:00"/>
    <s v="At Risk"/>
  </r>
  <r>
    <n v="310"/>
    <d v="2025-08-18T00:00:00"/>
    <s v="M160"/>
    <s v="Sourav Ghosh"/>
    <n v="1000"/>
    <s v="Monthly"/>
    <s v="Google Pay"/>
    <x v="0"/>
    <d v="2025-08-01T00:00:00"/>
    <d v="2025-09-17T00:00:00"/>
    <s v="Active"/>
  </r>
  <r>
    <n v="311"/>
    <d v="2025-07-01T00:00:00"/>
    <s v="M161"/>
    <s v="Sourav Shil"/>
    <n v="1000"/>
    <s v="Monthly"/>
    <s v="Cash"/>
    <x v="0"/>
    <d v="2025-07-01T00:00:00"/>
    <d v="2025-07-31T00:00:00"/>
    <s v="Churn Risk"/>
  </r>
  <r>
    <n v="312"/>
    <d v="2025-07-01T00:00:00"/>
    <s v="M162"/>
    <s v="Sourendra Bikash Roy"/>
    <n v="1000"/>
    <s v="Monthly"/>
    <s v="Cash"/>
    <x v="0"/>
    <d v="2025-07-01T00:00:00"/>
    <d v="2025-07-31T00:00:00"/>
    <s v="Churn Risk"/>
  </r>
  <r>
    <n v="313"/>
    <d v="2025-08-04T00:00:00"/>
    <s v="M163"/>
    <s v="Souvik Sarkar"/>
    <n v="1000"/>
    <s v="Monthly"/>
    <s v="Cash"/>
    <x v="0"/>
    <d v="2025-08-01T00:00:00"/>
    <d v="2025-09-03T00:00:00"/>
    <s v="Active"/>
  </r>
  <r>
    <n v="314"/>
    <d v="2025-05-01T00:00:00"/>
    <s v="M164"/>
    <s v="Stephen Joy"/>
    <n v="4200"/>
    <s v="3 Months"/>
    <s v="Google Pay"/>
    <x v="0"/>
    <d v="2025-05-01T00:00:00"/>
    <d v="2025-07-30T00:00:00"/>
    <s v="Churn Risk"/>
  </r>
  <r>
    <n v="315"/>
    <d v="2025-05-09T00:00:00"/>
    <s v="M165"/>
    <s v="Subhadeep Nath"/>
    <n v="1000"/>
    <s v="Monthly"/>
    <s v="Cash"/>
    <x v="0"/>
    <d v="2025-05-01T00:00:00"/>
    <d v="2025-06-08T00:00:00"/>
    <s v="Churn Risk"/>
  </r>
  <r>
    <n v="316"/>
    <d v="2025-07-11T00:00:00"/>
    <s v="M165"/>
    <s v="Subhadeep Nath"/>
    <n v="1000"/>
    <s v="Monthly"/>
    <s v="Cash"/>
    <x v="0"/>
    <d v="2025-07-01T00:00:00"/>
    <d v="2025-08-10T00:00:00"/>
    <s v="At Risk"/>
  </r>
  <r>
    <n v="317"/>
    <d v="2025-07-03T00:00:00"/>
    <s v="M166"/>
    <s v="Subhajit Paul"/>
    <n v="1000"/>
    <s v="Monthly"/>
    <s v="Google Pay"/>
    <x v="0"/>
    <d v="2025-07-01T00:00:00"/>
    <d v="2025-08-02T00:00:00"/>
    <s v="At Risk"/>
  </r>
  <r>
    <n v="318"/>
    <d v="2025-07-28T00:00:00"/>
    <s v="M167"/>
    <s v="Subhajit Saha"/>
    <n v="1000"/>
    <s v="Monthly"/>
    <s v="Cash"/>
    <x v="0"/>
    <d v="2025-07-01T00:00:00"/>
    <d v="2025-08-27T00:00:00"/>
    <s v="At Risk"/>
  </r>
  <r>
    <n v="319"/>
    <d v="2025-08-11T00:00:00"/>
    <s v="M168"/>
    <s v="Subhajit Sinha"/>
    <n v="1000"/>
    <s v="Monthly"/>
    <s v="Google Pay"/>
    <x v="0"/>
    <d v="2025-08-01T00:00:00"/>
    <d v="2025-09-10T00:00:00"/>
    <s v="Active"/>
  </r>
  <r>
    <n v="320"/>
    <d v="2025-03-17T00:00:00"/>
    <s v="M169"/>
    <s v="Subham Bhowmik"/>
    <n v="1000"/>
    <s v="Monthly"/>
    <s v="Google Pay"/>
    <x v="0"/>
    <d v="2025-03-01T00:00:00"/>
    <d v="2025-04-16T00:00:00"/>
    <s v="Churn Risk"/>
  </r>
  <r>
    <n v="321"/>
    <d v="2025-04-11T00:00:00"/>
    <s v="M170"/>
    <s v="Subham Debnath"/>
    <n v="2400"/>
    <s v="3 Months"/>
    <s v="Cash"/>
    <x v="0"/>
    <d v="2025-04-01T00:00:00"/>
    <d v="2025-07-10T00:00:00"/>
    <s v="Churn Risk"/>
  </r>
  <r>
    <n v="322"/>
    <d v="2025-08-19T00:00:00"/>
    <s v="M170"/>
    <s v="Subham Debnath"/>
    <n v="2400"/>
    <s v="3 Months"/>
    <s v="Google Pay"/>
    <x v="0"/>
    <d v="2025-08-01T00:00:00"/>
    <d v="2025-11-17T00:00:00"/>
    <s v="Active"/>
  </r>
  <r>
    <n v="323"/>
    <d v="2025-06-23T00:00:00"/>
    <s v="M171"/>
    <s v="Subham Paul"/>
    <n v="1000"/>
    <s v="Monthly"/>
    <s v="Cash"/>
    <x v="0"/>
    <d v="2025-06-01T00:00:00"/>
    <d v="2025-07-23T00:00:00"/>
    <s v="Churn Risk"/>
  </r>
  <r>
    <n v="324"/>
    <d v="2025-03-14T00:00:00"/>
    <s v="M172"/>
    <s v="Subhankar Deb"/>
    <n v="1000"/>
    <s v="Monthly"/>
    <s v="Cash"/>
    <x v="0"/>
    <d v="2025-03-01T00:00:00"/>
    <d v="2025-04-13T00:00:00"/>
    <s v="Churn Risk"/>
  </r>
  <r>
    <n v="325"/>
    <d v="2025-07-11T00:00:00"/>
    <s v="M172"/>
    <s v="Subhankar Deb"/>
    <n v="1000"/>
    <s v="Monthly"/>
    <s v="Cash"/>
    <x v="0"/>
    <d v="2025-07-01T00:00:00"/>
    <d v="2025-08-10T00:00:00"/>
    <s v="At Risk"/>
  </r>
  <r>
    <n v="326"/>
    <d v="2025-06-10T00:00:00"/>
    <s v="M173"/>
    <s v="Subhodeep Nath"/>
    <n v="1000"/>
    <s v="Monthly"/>
    <s v="Cash"/>
    <x v="0"/>
    <d v="2025-06-01T00:00:00"/>
    <d v="2025-07-10T00:00:00"/>
    <s v="Churn Risk"/>
  </r>
  <r>
    <n v="327"/>
    <d v="2025-04-10T00:00:00"/>
    <s v="M174"/>
    <s v="Subhrajit Ghosh"/>
    <n v="1000"/>
    <s v="Monthly"/>
    <s v="Google Pay"/>
    <x v="0"/>
    <d v="2025-04-01T00:00:00"/>
    <d v="2025-05-10T00:00:00"/>
    <s v="Churn Risk"/>
  </r>
  <r>
    <n v="328"/>
    <d v="2025-08-18T00:00:00"/>
    <s v="M174"/>
    <s v="Subhrajit Ghosh"/>
    <n v="1000"/>
    <s v="Monthly"/>
    <s v="Google Pay"/>
    <x v="0"/>
    <d v="2025-08-01T00:00:00"/>
    <d v="2025-09-17T00:00:00"/>
    <s v="Active"/>
  </r>
  <r>
    <n v="329"/>
    <d v="2025-05-07T00:00:00"/>
    <s v="M175"/>
    <s v="Subhrajyoti Roy"/>
    <n v="1000"/>
    <s v="Monthly"/>
    <s v="Google Pay"/>
    <x v="0"/>
    <d v="2025-05-01T00:00:00"/>
    <d v="2025-06-06T00:00:00"/>
    <s v="Churn Risk"/>
  </r>
  <r>
    <n v="330"/>
    <d v="2025-03-01T00:00:00"/>
    <s v="M176"/>
    <s v="Subhrojit Ghosh"/>
    <n v="1000"/>
    <s v="Monthly"/>
    <s v="Google Pay"/>
    <x v="0"/>
    <d v="2025-03-01T00:00:00"/>
    <d v="2025-03-31T00:00:00"/>
    <s v="Churn Risk"/>
  </r>
  <r>
    <n v="331"/>
    <d v="2025-05-06T00:00:00"/>
    <s v="M176"/>
    <s v="Subhrojit Ghosh"/>
    <n v="1000"/>
    <s v="Monthly"/>
    <s v="Google Pay"/>
    <x v="0"/>
    <d v="2025-05-01T00:00:00"/>
    <d v="2025-06-05T00:00:00"/>
    <s v="Churn Risk"/>
  </r>
  <r>
    <n v="332"/>
    <d v="2025-05-22T00:00:00"/>
    <s v="M177"/>
    <s v="Subir Paul"/>
    <n v="500"/>
    <s v="Monthly"/>
    <s v="Cash"/>
    <x v="0"/>
    <d v="2025-05-01T00:00:00"/>
    <d v="2025-06-21T00:00:00"/>
    <s v="Churn Risk"/>
  </r>
  <r>
    <n v="333"/>
    <d v="2025-08-18T00:00:00"/>
    <s v="M177"/>
    <s v="Subir Paul"/>
    <n v="1000"/>
    <s v="Monthly"/>
    <s v="Google Pay"/>
    <x v="0"/>
    <d v="2025-08-01T00:00:00"/>
    <d v="2025-09-17T00:00:00"/>
    <s v="Active"/>
  </r>
  <r>
    <n v="334"/>
    <d v="2025-06-21T00:00:00"/>
    <s v="M177"/>
    <s v="Subir Paul"/>
    <n v="1000"/>
    <s v="Monthly"/>
    <s v="Google Pay"/>
    <x v="0"/>
    <d v="2025-06-01T00:00:00"/>
    <d v="2025-07-21T00:00:00"/>
    <s v="Churn Risk"/>
  </r>
  <r>
    <n v="335"/>
    <d v="2025-04-16T00:00:00"/>
    <s v="M177"/>
    <s v="Subir Paul"/>
    <n v="1000"/>
    <s v="Monthly"/>
    <s v="Cash"/>
    <x v="0"/>
    <d v="2025-04-01T00:00:00"/>
    <d v="2025-05-16T00:00:00"/>
    <s v="Churn Risk"/>
  </r>
  <r>
    <n v="336"/>
    <d v="2025-07-24T00:00:00"/>
    <s v="M177"/>
    <s v="Subir Paul"/>
    <n v="1000"/>
    <s v="Monthly"/>
    <s v="Cash"/>
    <x v="0"/>
    <d v="2025-07-01T00:00:00"/>
    <d v="2025-08-23T00:00:00"/>
    <s v="At Risk"/>
  </r>
  <r>
    <n v="337"/>
    <d v="2025-06-07T00:00:00"/>
    <s v="M178"/>
    <s v="Subratanu Saha"/>
    <n v="1000"/>
    <s v="Monthly"/>
    <s v="Google Pay"/>
    <x v="0"/>
    <d v="2025-06-01T00:00:00"/>
    <d v="2025-07-07T00:00:00"/>
    <s v="Churn Risk"/>
  </r>
  <r>
    <n v="338"/>
    <d v="2025-04-10T00:00:00"/>
    <s v="M179"/>
    <s v="Sujit Sarkar"/>
    <n v="1000"/>
    <s v="Monthly"/>
    <s v="Google Pay"/>
    <x v="0"/>
    <d v="2025-04-01T00:00:00"/>
    <d v="2025-05-10T00:00:00"/>
    <s v="Churn Risk"/>
  </r>
  <r>
    <n v="339"/>
    <d v="2025-05-01T00:00:00"/>
    <s v="M180"/>
    <s v="Sukanta Das"/>
    <n v="1000"/>
    <s v="Monthly"/>
    <s v="Google Pay"/>
    <x v="0"/>
    <d v="2025-05-01T00:00:00"/>
    <d v="2025-05-31T00:00:00"/>
    <s v="Churn Risk"/>
  </r>
  <r>
    <n v="340"/>
    <d v="2025-07-03T00:00:00"/>
    <s v="M180"/>
    <s v="Sukanta Das"/>
    <n v="1000"/>
    <s v="Monthly"/>
    <s v="Google Pay"/>
    <x v="0"/>
    <d v="2025-07-01T00:00:00"/>
    <d v="2025-08-02T00:00:00"/>
    <s v="At Risk"/>
  </r>
  <r>
    <n v="341"/>
    <d v="2025-06-09T00:00:00"/>
    <s v="M180"/>
    <s v="Sukanta Das"/>
    <n v="1000"/>
    <s v="Monthly"/>
    <s v="Cash"/>
    <x v="0"/>
    <d v="2025-06-01T00:00:00"/>
    <d v="2025-07-09T00:00:00"/>
    <s v="Churn Risk"/>
  </r>
  <r>
    <n v="342"/>
    <d v="2025-04-16T00:00:00"/>
    <s v="M181"/>
    <s v="Suman Das"/>
    <n v="1000"/>
    <s v="Monthly"/>
    <s v="Cash"/>
    <x v="0"/>
    <d v="2025-04-01T00:00:00"/>
    <d v="2025-05-16T00:00:00"/>
    <s v="Churn Risk"/>
  </r>
  <r>
    <n v="343"/>
    <d v="2025-05-07T00:00:00"/>
    <s v="M182"/>
    <s v="Sumitra Das"/>
    <n v="1000"/>
    <s v="Monthly"/>
    <s v="Cash"/>
    <x v="0"/>
    <d v="2025-05-01T00:00:00"/>
    <d v="2025-06-06T00:00:00"/>
    <s v="Churn Risk"/>
  </r>
  <r>
    <n v="344"/>
    <d v="2025-06-09T00:00:00"/>
    <s v="M182"/>
    <s v="Sumitra Das"/>
    <n v="1000"/>
    <s v="Monthly"/>
    <s v="Cash"/>
    <x v="0"/>
    <d v="2025-06-01T00:00:00"/>
    <d v="2025-07-09T00:00:00"/>
    <s v="Churn Risk"/>
  </r>
  <r>
    <n v="345"/>
    <d v="2025-04-11T00:00:00"/>
    <s v="M182"/>
    <s v="Sumitra Das"/>
    <n v="1000"/>
    <s v="Monthly"/>
    <s v="Cash"/>
    <x v="0"/>
    <d v="2025-04-01T00:00:00"/>
    <d v="2025-05-11T00:00:00"/>
    <s v="Churn Risk"/>
  </r>
  <r>
    <n v="346"/>
    <d v="2025-04-22T00:00:00"/>
    <s v="M183"/>
    <s v="Sunil Singha"/>
    <n v="1000"/>
    <s v="Monthly"/>
    <s v="Google Pay"/>
    <x v="0"/>
    <d v="2025-04-01T00:00:00"/>
    <d v="2025-05-22T00:00:00"/>
    <s v="Churn Risk"/>
  </r>
  <r>
    <n v="347"/>
    <d v="2025-05-05T00:00:00"/>
    <s v="M184"/>
    <s v="Sunu Das"/>
    <n v="1500"/>
    <s v="Monthly"/>
    <s v="Cash"/>
    <x v="0"/>
    <d v="2025-05-01T00:00:00"/>
    <d v="2025-06-04T00:00:00"/>
    <s v="Churn Risk"/>
  </r>
  <r>
    <n v="348"/>
    <d v="2025-06-07T00:00:00"/>
    <s v="M184"/>
    <s v="Sunu Das"/>
    <n v="1000"/>
    <s v="Monthly"/>
    <s v="Cash"/>
    <x v="0"/>
    <d v="2025-06-01T00:00:00"/>
    <d v="2025-07-07T00:00:00"/>
    <s v="Churn Risk"/>
  </r>
  <r>
    <n v="349"/>
    <d v="2025-08-18T00:00:00"/>
    <s v="M185"/>
    <s v="Supan Debnath"/>
    <n v="1000"/>
    <s v="Monthly"/>
    <s v="Google Pay"/>
    <x v="0"/>
    <d v="2025-08-01T00:00:00"/>
    <d v="2025-09-17T00:00:00"/>
    <s v="Active"/>
  </r>
  <r>
    <n v="350"/>
    <d v="2025-04-16T00:00:00"/>
    <s v="M186"/>
    <s v="Supritam Deb"/>
    <n v="1000"/>
    <s v="Monthly"/>
    <s v="Google Pay"/>
    <x v="0"/>
    <d v="2025-04-01T00:00:00"/>
    <d v="2025-05-16T00:00:00"/>
    <s v="Churn Risk"/>
  </r>
  <r>
    <n v="351"/>
    <d v="2025-04-01T00:00:00"/>
    <s v="M187"/>
    <s v="Supriya Banik"/>
    <n v="1400"/>
    <s v="Monthly"/>
    <s v="Cash"/>
    <x v="0"/>
    <d v="2025-04-01T00:00:00"/>
    <d v="2025-05-01T00:00:00"/>
    <s v="Churn Risk"/>
  </r>
  <r>
    <n v="352"/>
    <d v="2025-07-05T00:00:00"/>
    <s v="M187"/>
    <s v="Supriya Banik"/>
    <n v="2400"/>
    <s v="3 Months"/>
    <s v="Cash"/>
    <x v="0"/>
    <d v="2025-07-01T00:00:00"/>
    <d v="2025-10-03T00:00:00"/>
    <s v="Active"/>
  </r>
  <r>
    <n v="353"/>
    <d v="2025-03-25T00:00:00"/>
    <s v="M187"/>
    <s v="Supriya Banik"/>
    <n v="1000"/>
    <s v="Monthly"/>
    <s v="Google Pay"/>
    <x v="0"/>
    <d v="2025-03-01T00:00:00"/>
    <d v="2025-04-24T00:00:00"/>
    <s v="Churn Risk"/>
  </r>
  <r>
    <n v="354"/>
    <d v="2025-08-05T00:00:00"/>
    <s v="M188"/>
    <s v="Supriya Dhar"/>
    <n v="2400"/>
    <s v="3 Months"/>
    <s v="Cash"/>
    <x v="0"/>
    <d v="2025-08-01T00:00:00"/>
    <d v="2025-11-03T00:00:00"/>
    <s v="Active"/>
  </r>
  <r>
    <n v="355"/>
    <d v="2025-03-24T00:00:00"/>
    <s v="M189"/>
    <s v="Suraj Barua"/>
    <n v="2400"/>
    <s v="3 Months"/>
    <s v="Google Pay"/>
    <x v="0"/>
    <d v="2025-03-01T00:00:00"/>
    <d v="2025-06-22T00:00:00"/>
    <s v="Churn Risk"/>
  </r>
  <r>
    <n v="356"/>
    <d v="2025-06-03T00:00:00"/>
    <s v="M190"/>
    <s v="Surajit Chakraborty"/>
    <n v="1000"/>
    <s v="Monthly"/>
    <s v="Google Pay"/>
    <x v="0"/>
    <d v="2025-06-01T00:00:00"/>
    <d v="2025-07-03T00:00:00"/>
    <s v="Churn Risk"/>
  </r>
  <r>
    <n v="357"/>
    <d v="2025-07-02T00:00:00"/>
    <s v="M190"/>
    <s v="Surajit Chakraborty"/>
    <n v="1000"/>
    <s v="Monthly"/>
    <s v="Google Pay"/>
    <x v="0"/>
    <d v="2025-07-01T00:00:00"/>
    <d v="2025-08-01T00:00:00"/>
    <s v="At Risk"/>
  </r>
  <r>
    <n v="358"/>
    <d v="2025-04-11T00:00:00"/>
    <s v="M191"/>
    <s v="Suranda Bikash Roy"/>
    <n v="1000"/>
    <s v="Monthly"/>
    <s v="Google Pay"/>
    <x v="0"/>
    <d v="2025-04-01T00:00:00"/>
    <d v="2025-05-11T00:00:00"/>
    <s v="Churn Risk"/>
  </r>
  <r>
    <n v="359"/>
    <d v="2025-03-10T00:00:00"/>
    <s v="M191"/>
    <s v="Suranda Bikash Roy"/>
    <n v="1000"/>
    <s v="Monthly"/>
    <s v="Google Pay"/>
    <x v="0"/>
    <d v="2025-03-01T00:00:00"/>
    <d v="2025-04-09T00:00:00"/>
    <s v="Churn Risk"/>
  </r>
  <r>
    <n v="360"/>
    <d v="2025-04-12T00:00:00"/>
    <s v="M192"/>
    <s v="Suryayan Nath"/>
    <n v="7000"/>
    <s v="6 Months"/>
    <s v="Cash"/>
    <x v="0"/>
    <d v="2025-04-01T00:00:00"/>
    <d v="2025-10-09T00:00:00"/>
    <s v="Active"/>
  </r>
  <r>
    <n v="361"/>
    <d v="2025-05-05T00:00:00"/>
    <s v="M193"/>
    <s v="Susanta Sinha"/>
    <n v="2400"/>
    <s v="3 Months"/>
    <s v="Google Pay"/>
    <x v="0"/>
    <d v="2025-05-01T00:00:00"/>
    <d v="2025-08-03T00:00:00"/>
    <s v="At Risk"/>
  </r>
  <r>
    <n v="362"/>
    <d v="2025-04-01T00:00:00"/>
    <s v="M194"/>
    <s v="Sushanta Chakraborty"/>
    <n v="1000"/>
    <s v="Monthly"/>
    <s v="Cash"/>
    <x v="0"/>
    <d v="2025-04-01T00:00:00"/>
    <d v="2025-05-01T00:00:00"/>
    <s v="Churn Risk"/>
  </r>
  <r>
    <n v="363"/>
    <d v="2025-07-24T00:00:00"/>
    <s v="M195"/>
    <s v="Sushmita Sinha"/>
    <n v="800"/>
    <s v="Monthly"/>
    <s v="Google Pay"/>
    <x v="0"/>
    <d v="2025-07-01T00:00:00"/>
    <d v="2025-08-23T00:00:00"/>
    <s v="At Risk"/>
  </r>
  <r>
    <n v="364"/>
    <d v="2025-07-04T00:00:00"/>
    <s v="M196"/>
    <s v="Swpam Debnath"/>
    <n v="1000"/>
    <s v="Monthly"/>
    <s v="Cash"/>
    <x v="0"/>
    <d v="2025-07-01T00:00:00"/>
    <d v="2025-08-03T00:00:00"/>
    <s v="At Risk"/>
  </r>
  <r>
    <n v="365"/>
    <d v="2025-06-03T00:00:00"/>
    <s v="M197"/>
    <s v="Tampa Majumder"/>
    <n v="1000"/>
    <s v="Monthly"/>
    <s v="Google Pay"/>
    <x v="0"/>
    <d v="2025-06-01T00:00:00"/>
    <d v="2025-07-03T00:00:00"/>
    <s v="Churn Risk"/>
  </r>
  <r>
    <n v="366"/>
    <d v="2025-03-07T00:00:00"/>
    <s v="M197"/>
    <s v="Tampa Majumder"/>
    <n v="1000"/>
    <s v="Monthly"/>
    <s v="Cash"/>
    <x v="0"/>
    <d v="2025-03-01T00:00:00"/>
    <d v="2025-04-06T00:00:00"/>
    <s v="Churn Risk"/>
  </r>
  <r>
    <n v="367"/>
    <d v="2025-04-11T00:00:00"/>
    <s v="M197"/>
    <s v="Tampa Majumder"/>
    <n v="1000"/>
    <s v="Monthly"/>
    <s v="Google Pay"/>
    <x v="0"/>
    <d v="2025-04-01T00:00:00"/>
    <d v="2025-05-11T00:00:00"/>
    <s v="Churn Risk"/>
  </r>
  <r>
    <n v="368"/>
    <d v="2025-07-07T00:00:00"/>
    <s v="M197"/>
    <s v="Tampa Majumder"/>
    <n v="1000"/>
    <s v="Monthly"/>
    <s v="Google Pay"/>
    <x v="0"/>
    <d v="2025-07-01T00:00:00"/>
    <d v="2025-08-06T00:00:00"/>
    <s v="At Risk"/>
  </r>
  <r>
    <n v="369"/>
    <d v="2025-08-07T00:00:00"/>
    <s v="M197"/>
    <s v="Tampa Majumder"/>
    <n v="1000"/>
    <s v="Monthly"/>
    <s v="Cash"/>
    <x v="0"/>
    <d v="2025-08-01T00:00:00"/>
    <d v="2025-09-06T00:00:00"/>
    <s v="Active"/>
  </r>
  <r>
    <n v="370"/>
    <d v="2025-07-03T00:00:00"/>
    <s v="M198"/>
    <s v="Tanmoy Dey"/>
    <n v="1000"/>
    <s v="Monthly"/>
    <s v="Google Pay"/>
    <x v="0"/>
    <d v="2025-07-01T00:00:00"/>
    <d v="2025-08-02T00:00:00"/>
    <s v="At Risk"/>
  </r>
  <r>
    <n v="371"/>
    <d v="2025-03-05T00:00:00"/>
    <s v="M198"/>
    <s v="Tanmoy Dey"/>
    <n v="1000"/>
    <s v="Monthly"/>
    <s v="Google Pay"/>
    <x v="0"/>
    <d v="2025-03-01T00:00:00"/>
    <d v="2025-04-04T00:00:00"/>
    <s v="Churn Risk"/>
  </r>
  <r>
    <n v="372"/>
    <d v="2025-08-06T00:00:00"/>
    <s v="M198"/>
    <s v="Tanmoy Dey"/>
    <n v="1000"/>
    <s v="Monthly"/>
    <s v="Google Pay"/>
    <x v="0"/>
    <d v="2025-08-01T00:00:00"/>
    <d v="2025-09-05T00:00:00"/>
    <s v="Active"/>
  </r>
  <r>
    <n v="373"/>
    <d v="2025-05-21T00:00:00"/>
    <s v="M198"/>
    <s v="Tanmoy Dey"/>
    <n v="1000"/>
    <s v="Monthly"/>
    <s v="Google Pay"/>
    <x v="0"/>
    <d v="2025-05-01T00:00:00"/>
    <d v="2025-06-20T00:00:00"/>
    <s v="Churn Risk"/>
  </r>
  <r>
    <n v="374"/>
    <d v="2025-05-02T00:00:00"/>
    <s v="M199"/>
    <s v="Tanusree Debnath"/>
    <n v="1000"/>
    <s v="Monthly"/>
    <s v="Google Pay"/>
    <x v="0"/>
    <d v="2025-05-01T00:00:00"/>
    <d v="2025-06-01T00:00:00"/>
    <s v="Churn Risk"/>
  </r>
  <r>
    <n v="375"/>
    <d v="2025-04-02T00:00:00"/>
    <s v="M200"/>
    <s v="Uday Debnath"/>
    <n v="1000"/>
    <s v="Monthly"/>
    <s v="Cash"/>
    <x v="0"/>
    <d v="2025-04-01T00:00:00"/>
    <d v="2025-05-02T00:00:00"/>
    <s v="Churn Risk"/>
  </r>
  <r>
    <n v="376"/>
    <d v="2025-05-19T00:00:00"/>
    <s v="M200"/>
    <s v="Uday Debnath"/>
    <n v="1000"/>
    <s v="Monthly"/>
    <s v="Cash"/>
    <x v="0"/>
    <d v="2025-05-01T00:00:00"/>
    <d v="2025-06-18T00:00:00"/>
    <s v="Churn Risk"/>
  </r>
  <r>
    <n v="377"/>
    <d v="2025-06-03T00:00:00"/>
    <s v="M201"/>
    <s v="Udaysagar Roy"/>
    <n v="1000"/>
    <s v="Monthly"/>
    <s v="Google Pay"/>
    <x v="0"/>
    <d v="2025-06-01T00:00:00"/>
    <d v="2025-07-03T00:00:00"/>
    <s v="Churn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5F360-0980-44CD-A01D-9F3664246F27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s">
  <location ref="S14:T2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numFmtId="14" showAll="0">
      <items count="7">
        <item x="2"/>
        <item x="3"/>
        <item x="4"/>
        <item x="5"/>
        <item x="0"/>
        <item x="1"/>
        <item t="default"/>
      </items>
    </pivotField>
    <pivotField numFmtId="14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6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umber of Active Members" fld="0" subtotal="count" baseField="10" baseItem="3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1A575-7DFF-4BD5-B1DE-76344EB8A42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rvice Type">
  <location ref="V17:W20" firstHeaderRow="1" firstDataRow="1" firstDataCol="1"/>
  <pivotFields count="11">
    <pivotField showAll="0"/>
    <pivotField numFmtId="14"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numFmtId="14"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Revenue" fld="4" baseField="7" baseItem="0" numFmtId="164"/>
  </dataFields>
  <formats count="2">
    <format dxfId="43">
      <pivotArea outline="0" collapsedLevelsAreSubtotals="1" fieldPosition="0"/>
    </format>
    <format dxfId="42">
      <pivotArea dataOnly="0" labelOnly="1" outline="0" axis="axisValues" fieldPosition="0"/>
    </format>
  </formats>
  <chartFormats count="3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F356C-B13E-4694-BAFB-59D095B5724C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V4:W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>
      <items count="7">
        <item x="2"/>
        <item x="3"/>
        <item x="4"/>
        <item x="5"/>
        <item x="0"/>
        <item x="1"/>
        <item t="default"/>
      </items>
    </pivotField>
    <pivotField numFmtId="14" showAll="0"/>
    <pivotField axis="axisRow" showAll="0">
      <items count="4">
        <item x="1"/>
        <item x="0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members" fld="0" subtotal="count" baseField="8" baseItem="0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30F41-8871-43BA-8252-49C1A6C4666F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ember Status">
  <location ref="P14:Q19" firstHeaderRow="1" firstDataRow="1" firstDataCol="1"/>
  <pivotFields count="13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Members" fld="0" subtotal="count" baseField="11" baseItem="0"/>
  </dataField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DCDE3-D50F-490E-B6D5-9F6A35AE5E28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ember Status" fieldListSortAscending="1">
  <location ref="V10:W15" firstHeaderRow="1" firstDataRow="1" firstDataCol="1"/>
  <pivotFields count="13"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6" baseField="11" baseItem="0" numFmtId="164"/>
  </dataField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76D28-9151-4119-927E-A0AD24829B94}" name="PivotTable8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Months">
  <location ref="P4:Q11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2" baseField="1" baseItem="0" numFmtId="164"/>
  </dataFields>
  <formats count="2">
    <format dxfId="47">
      <pivotArea outline="0" collapsedLevelsAreSubtotals="1" fieldPosition="0"/>
    </format>
    <format dxfId="46">
      <pivotArea dataOnly="0" labelOnly="1" outline="0" axis="axisValues" fieldPosition="0"/>
    </format>
  </format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ym_data!$A$1:$K$37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F1754-CFEE-4795-BEFA-FA2A0E7CB166}" name="PivotTable1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s">
  <location ref="S4:T11" firstHeaderRow="1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fit" fld="6" baseField="0" baseItem="0" numFmtId="16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328A8-AC40-4800-B28D-E74F339B39A2}" name="Table1" displayName="Table1" ref="A3:H10" totalsRowShown="0" headerRowDxfId="60" dataDxfId="58" headerRowBorderDxfId="59" tableBorderDxfId="57" totalsRowBorderDxfId="56">
  <tableColumns count="8">
    <tableColumn id="1" xr3:uid="{C12649FF-D0D7-4A7B-8022-A0B30BA5D6D5}" name="Month" dataDxfId="55"/>
    <tableColumn id="2" xr3:uid="{56662AD5-C237-438B-AC39-83136258C792}" name="Rent" dataDxfId="54"/>
    <tableColumn id="3" xr3:uid="{D1E6A647-9480-4695-9657-BCE39BED7468}" name="Electricity" dataDxfId="53"/>
    <tableColumn id="4" xr3:uid="{344F47E6-010D-4B88-9689-26EC1D7BAB88}" name="Trainer Salary" dataDxfId="52"/>
    <tableColumn id="5" xr3:uid="{E9ADD14D-68E8-452E-8D34-444E85A39A00}" name="Total Cost" dataDxfId="51">
      <calculatedColumnFormula>SUM(B4:D4)</calculatedColumnFormula>
    </tableColumn>
    <tableColumn id="6" xr3:uid="{0957BDA8-4742-41DD-8F7D-87CBEF382F84}" name="Total Revenue" dataDxfId="50"/>
    <tableColumn id="7" xr3:uid="{EB3FCE04-45BC-4E0B-BF27-CEC8E933AD7B}" name="Profit (Net Income)" dataDxfId="49">
      <calculatedColumnFormula>F4-E4</calculatedColumnFormula>
    </tableColumn>
    <tableColumn id="8" xr3:uid="{A01BA51E-0350-4667-A571-90C2BA53ADFF}" name="Profit Margin" dataDxfId="41" dataCellStyle="Percent">
      <calculatedColumnFormula>G4/F4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DFAA5E-920C-46D2-A3DB-CB21C514BB88}" name="Table2" displayName="Table2" ref="A3:K380" totalsRowShown="0" headerRowDxfId="64">
  <sortState xmlns:xlrd2="http://schemas.microsoft.com/office/spreadsheetml/2017/richdata2" ref="A4:K380">
    <sortCondition ref="B3:B380"/>
  </sortState>
  <tableColumns count="11">
    <tableColumn id="1" xr3:uid="{A297E465-3EFA-42F1-972E-C3E6746529B9}" name="Serial Number"/>
    <tableColumn id="2" xr3:uid="{408581D0-EFC3-4D7D-8489-6CF0CA11F8DB}" name="Payment_Date" dataDxfId="63"/>
    <tableColumn id="3" xr3:uid="{8DC394CA-D362-473D-A2D2-7957BF59004B}" name="Member_id">
      <calculatedColumnFormula>VLOOKUP(D4, Member_Master!A:B, 2, FALSE)</calculatedColumnFormula>
    </tableColumn>
    <tableColumn id="4" xr3:uid="{98F2C039-B86F-4A6F-BBA0-BBE7A4B6B1E8}" name="Member_Name"/>
    <tableColumn id="5" xr3:uid="{3CDE4BDC-BFE6-47F9-BCB4-24522A90DB4B}" name="Payment_Amount"/>
    <tableColumn id="6" xr3:uid="{E7C5F8BD-4EBE-41D2-A3F7-362491FD2901}" name="Plan_type">
      <calculatedColumnFormula>IF(E4&lt;=2200,"Monthly",IF(E4&lt;=4500,"3 Months",
IF(E4&lt;=7000,"6 Months",
"Yearly")))</calculatedColumnFormula>
    </tableColumn>
    <tableColumn id="7" xr3:uid="{D457B8D0-9FA4-4372-8B1D-30334C191220}" name="Payment_Method"/>
    <tableColumn id="8" xr3:uid="{AB1B5AC0-4C6B-4012-B202-A4FD2A579133}" name="Service_Type"/>
    <tableColumn id="9" xr3:uid="{CA26A660-0F79-4E45-A0D9-F30C17052F40}" name="Month_Start_Date" dataDxfId="62"/>
    <tableColumn id="10" xr3:uid="{9329C7AA-6F50-462F-8B2F-A54C0A53A0E5}" name="Expiry_Date" dataDxfId="61">
      <calculatedColumnFormula>IF(F4="Monthly",B4+30,IF(F4="3 Months",B4+90,IF(F4="6 Months",B4+180,IF(F4="Yearly",B4+365,"Check Plan"))))</calculatedColumnFormula>
    </tableColumn>
    <tableColumn id="11" xr3:uid="{9DCDCE7A-DC04-4E75-90CD-D0181687AEF3}" name="Membership_Status">
      <calculatedColumnFormula>IF($N$4&lt;=J4,"Active",IF($N$4-J4&lt;=30,"At Risk","Churn Risk"))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0A67B2-E879-4DFB-82FE-83990D01DEDA}" name="Table6" displayName="Table6" ref="A3:M204" totalsRowShown="0">
  <sortState xmlns:xlrd2="http://schemas.microsoft.com/office/spreadsheetml/2017/richdata2" ref="A4:M204">
    <sortCondition descending="1" ref="K3:K204"/>
  </sortState>
  <tableColumns count="13">
    <tableColumn id="1" xr3:uid="{0823ED0B-3D50-45D4-A5B8-8F885C7B6892}" name="Member_Id"/>
    <tableColumn id="2" xr3:uid="{50577932-573B-42D8-9A91-C47D7783AA7A}" name="Last Payment Date" dataDxfId="48">
      <calculatedColumnFormula>_xlfn.MAXIFS(Gym_data!$B:$B,Gym_data!$C:$C,$A4)</calculatedColumnFormula>
    </tableColumn>
    <tableColumn id="3" xr3:uid="{AD5F8255-1A0D-4B17-94A5-782CE85CFAD2}" name="Expiry Date" dataDxfId="11">
      <calculatedColumnFormula>IF(M4="Monthly",B4+30,IF(M4="3 Months",B4+90,
 IF(M4="6 Months",B4+180,
 IF(M4="Yearly",B4+365,"Check Plan"))))</calculatedColumnFormula>
    </tableColumn>
    <tableColumn id="4" xr3:uid="{9A83A357-AD51-4589-9CB5-222F44115440}" name="Membership_Status">
      <calculatedColumnFormula>IF($O$4&lt;=C4,"Active",IF($O$4-C4&lt;=30,"At Risk","Churn Risk"))</calculatedColumnFormula>
    </tableColumn>
    <tableColumn id="5" xr3:uid="{F51AB766-4F19-4323-854F-1C556568768F}" name="Recency">
      <calculatedColumnFormula xml:space="preserve"> $O$4 - B4</calculatedColumnFormula>
    </tableColumn>
    <tableColumn id="6" xr3:uid="{6FAF8335-9471-43DD-8CE3-403CDF523664}" name="Frequency">
      <calculatedColumnFormula>COUNTIF(Gym_data!C:C, A4)</calculatedColumnFormula>
    </tableColumn>
    <tableColumn id="7" xr3:uid="{253B470C-DE76-474D-BC8F-99C8F9CFB679}" name="Monetary">
      <calculatedColumnFormula>SUMIF(Gym_data!C:C, A4, Gym_data!E:E)</calculatedColumnFormula>
    </tableColumn>
    <tableColumn id="8" xr3:uid="{294F0909-C93E-4F48-A881-BB4C6D4C1AAF}" name="R_Score">
      <calculatedColumnFormula>IF(E4&lt;=30,5,IF(E4&lt;=60,4,IF(E4&lt;=90,3,IF(E4&lt;=120,2,1))))</calculatedColumnFormula>
    </tableColumn>
    <tableColumn id="9" xr3:uid="{D0CB3F4A-B2CF-495B-9A5B-0BEDEAD97443}" name="F_Score">
      <calculatedColumnFormula>IF(F4&gt;=5,5, IF(F4&gt;=4,4,IF(F4&gt;=3,3,IF(F4&gt;=2,2,1))))</calculatedColumnFormula>
    </tableColumn>
    <tableColumn id="10" xr3:uid="{F7CCB7AE-25D4-4B36-B144-FE9D15ADEA89}" name="M_Score">
      <calculatedColumnFormula>IF(G4&gt;=5000,5,IF(G4&gt;=4000,4,IF(G4&gt;=3000,3,IF(G4&gt;=2000,2,1))))</calculatedColumnFormula>
    </tableColumn>
    <tableColumn id="11" xr3:uid="{24D8F346-BA24-4AA1-B3D5-040807A95454}" name="RFM_Score">
      <calculatedColumnFormula>H4&amp;I4&amp;J4</calculatedColumnFormula>
    </tableColumn>
    <tableColumn id="12" xr3:uid="{C120FA0D-9216-47A7-807B-E925F7DBBDBB}" name="Segment">
      <calculatedColumnFormula>IF(AND(H4&gt;=4,I4&gt;=4,J4&gt;=4),"Champion",IF(AND(H4&gt;=3,I4&gt;=3,J4&gt;=3),"Loyal",IF(AND(H4&gt;=4,I4&lt;=2),"At Risk","Churn Risk")))</calculatedColumnFormula>
    </tableColumn>
    <tableColumn id="13" xr3:uid="{28B95753-16CA-4D7C-B8EB-7DFFC6538E3E}" name="Plan_type">
      <calculatedColumnFormula array="1">_xlfn.XLOOKUP(1,(Gym_data!$C:$C=$A4)*(Gym_data!$B:$B=$B4),Gym_data!$F:$F)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5C79BD-643F-4486-88CA-BFABB01BBC37}" name="Table5" displayName="Table5" ref="A3:B204" totalsRowShown="0">
  <tableColumns count="2">
    <tableColumn id="1" xr3:uid="{B25FCB73-4A26-45B5-AEB2-83DE6AA0614C}" name="Member_Name"/>
    <tableColumn id="2" xr3:uid="{6CB1AB0E-2281-4BA4-8780-E571CB9A72CF}" name="Member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AF58-6B0C-4437-8A3B-4AF6A866A212}">
  <dimension ref="A1:H23"/>
  <sheetViews>
    <sheetView workbookViewId="0">
      <selection activeCell="D17" sqref="D17"/>
    </sheetView>
  </sheetViews>
  <sheetFormatPr defaultRowHeight="14.4" x14ac:dyDescent="0.3"/>
  <cols>
    <col min="2" max="2" width="11.88671875" style="6" customWidth="1"/>
    <col min="3" max="3" width="14" style="6" customWidth="1"/>
    <col min="4" max="4" width="15.21875" style="6" customWidth="1"/>
    <col min="5" max="5" width="21.109375" style="6" customWidth="1"/>
    <col min="6" max="6" width="17.5546875" style="6" customWidth="1"/>
    <col min="7" max="7" width="20.109375" style="6" customWidth="1"/>
    <col min="8" max="8" width="13.77734375" customWidth="1"/>
    <col min="9" max="9" width="8.88671875" customWidth="1"/>
  </cols>
  <sheetData>
    <row r="1" spans="1:8" ht="21" x14ac:dyDescent="0.4">
      <c r="B1"/>
      <c r="C1" s="42" t="s">
        <v>470</v>
      </c>
      <c r="D1" s="29"/>
      <c r="E1" s="29"/>
    </row>
    <row r="2" spans="1:8" ht="8.4" customHeight="1" x14ac:dyDescent="0.3"/>
    <row r="3" spans="1:8" s="7" customFormat="1" ht="27.6" x14ac:dyDescent="0.3">
      <c r="A3" s="11" t="s">
        <v>449</v>
      </c>
      <c r="B3" s="12" t="s">
        <v>455</v>
      </c>
      <c r="C3" s="12" t="s">
        <v>456</v>
      </c>
      <c r="D3" s="12" t="s">
        <v>457</v>
      </c>
      <c r="E3" s="12" t="s">
        <v>458</v>
      </c>
      <c r="F3" s="12" t="s">
        <v>459</v>
      </c>
      <c r="G3" s="13" t="s">
        <v>460</v>
      </c>
      <c r="H3" s="12" t="s">
        <v>471</v>
      </c>
    </row>
    <row r="4" spans="1:8" x14ac:dyDescent="0.3">
      <c r="A4" s="17" t="s">
        <v>450</v>
      </c>
      <c r="B4" s="8">
        <v>30000</v>
      </c>
      <c r="C4" s="8">
        <v>20000</v>
      </c>
      <c r="D4" s="8">
        <v>12000</v>
      </c>
      <c r="E4" s="8">
        <f>SUM(B4:D4)</f>
        <v>62000</v>
      </c>
      <c r="F4" s="9">
        <v>80300</v>
      </c>
      <c r="G4" s="10">
        <f>F4-E4</f>
        <v>18300</v>
      </c>
      <c r="H4" s="37">
        <f t="shared" ref="H4:H10" si="0">G4/F4</f>
        <v>0.22789539227895392</v>
      </c>
    </row>
    <row r="5" spans="1:8" x14ac:dyDescent="0.3">
      <c r="A5" s="17" t="s">
        <v>451</v>
      </c>
      <c r="B5" s="8">
        <v>30000</v>
      </c>
      <c r="C5" s="8">
        <v>20000</v>
      </c>
      <c r="D5" s="8">
        <v>12000</v>
      </c>
      <c r="E5" s="8">
        <f t="shared" ref="E5:E9" si="1">SUM(B5:D5)</f>
        <v>62000</v>
      </c>
      <c r="F5" s="9">
        <v>112200</v>
      </c>
      <c r="G5" s="10">
        <f t="shared" ref="G5:G9" si="2">F5-E5</f>
        <v>50200</v>
      </c>
      <c r="H5" s="38">
        <f t="shared" si="0"/>
        <v>0.44741532976827092</v>
      </c>
    </row>
    <row r="6" spans="1:8" x14ac:dyDescent="0.3">
      <c r="A6" s="17" t="s">
        <v>442</v>
      </c>
      <c r="B6" s="8">
        <v>30000</v>
      </c>
      <c r="C6" s="8">
        <v>20000</v>
      </c>
      <c r="D6" s="8">
        <v>12000</v>
      </c>
      <c r="E6" s="8">
        <f t="shared" si="1"/>
        <v>62000</v>
      </c>
      <c r="F6" s="9">
        <v>66200</v>
      </c>
      <c r="G6" s="10">
        <f t="shared" si="2"/>
        <v>4200</v>
      </c>
      <c r="H6" s="38">
        <f t="shared" si="0"/>
        <v>6.3444108761329304E-2</v>
      </c>
    </row>
    <row r="7" spans="1:8" x14ac:dyDescent="0.3">
      <c r="A7" s="17" t="s">
        <v>452</v>
      </c>
      <c r="B7" s="8">
        <v>30000</v>
      </c>
      <c r="C7" s="8">
        <v>20000</v>
      </c>
      <c r="D7" s="8">
        <v>12000</v>
      </c>
      <c r="E7" s="8">
        <f t="shared" si="1"/>
        <v>62000</v>
      </c>
      <c r="F7" s="9">
        <v>89300</v>
      </c>
      <c r="G7" s="10">
        <f t="shared" si="2"/>
        <v>27300</v>
      </c>
      <c r="H7" s="38">
        <f t="shared" si="0"/>
        <v>0.3057110862262038</v>
      </c>
    </row>
    <row r="8" spans="1:8" x14ac:dyDescent="0.3">
      <c r="A8" s="17" t="s">
        <v>453</v>
      </c>
      <c r="B8" s="8">
        <v>30000</v>
      </c>
      <c r="C8" s="8">
        <v>20000</v>
      </c>
      <c r="D8" s="8">
        <v>12000</v>
      </c>
      <c r="E8" s="8">
        <f t="shared" si="1"/>
        <v>62000</v>
      </c>
      <c r="F8" s="9">
        <v>96200</v>
      </c>
      <c r="G8" s="10">
        <f t="shared" si="2"/>
        <v>34200</v>
      </c>
      <c r="H8" s="38">
        <f t="shared" si="0"/>
        <v>0.35550935550935553</v>
      </c>
    </row>
    <row r="9" spans="1:8" x14ac:dyDescent="0.3">
      <c r="A9" s="18" t="s">
        <v>454</v>
      </c>
      <c r="B9" s="14">
        <v>30000</v>
      </c>
      <c r="C9" s="14">
        <v>20000</v>
      </c>
      <c r="D9" s="14">
        <v>12000</v>
      </c>
      <c r="E9" s="14">
        <f t="shared" si="1"/>
        <v>62000</v>
      </c>
      <c r="F9" s="15">
        <v>69600</v>
      </c>
      <c r="G9" s="16">
        <f t="shared" si="2"/>
        <v>7600</v>
      </c>
      <c r="H9" s="38">
        <f t="shared" si="0"/>
        <v>0.10919540229885058</v>
      </c>
    </row>
    <row r="10" spans="1:8" x14ac:dyDescent="0.3">
      <c r="A10" s="18" t="s">
        <v>469</v>
      </c>
      <c r="B10" s="25">
        <f>SUM(B4:B9)</f>
        <v>180000</v>
      </c>
      <c r="C10" s="26">
        <f>SUM(C4:C9)</f>
        <v>120000</v>
      </c>
      <c r="D10" s="26">
        <f>SUM(D4:D9)</f>
        <v>72000</v>
      </c>
      <c r="E10" s="26">
        <f>SUM(E4:E9)</f>
        <v>372000</v>
      </c>
      <c r="F10" s="27">
        <f>SUM(F4:F9)</f>
        <v>513800</v>
      </c>
      <c r="G10" s="28">
        <f>F10-E10</f>
        <v>141800</v>
      </c>
      <c r="H10" s="39">
        <f t="shared" si="0"/>
        <v>0.27598287271311794</v>
      </c>
    </row>
    <row r="16" spans="1:8" x14ac:dyDescent="0.3">
      <c r="A16" s="30"/>
      <c r="B16" s="31"/>
      <c r="C16" s="31"/>
      <c r="D16" s="31"/>
      <c r="E16" s="31"/>
      <c r="F16" s="31"/>
      <c r="G16" s="31"/>
    </row>
    <row r="17" spans="1:7" x14ac:dyDescent="0.3">
      <c r="A17" s="32"/>
      <c r="B17" s="33"/>
      <c r="C17" s="33"/>
      <c r="D17" s="33"/>
      <c r="E17" s="33"/>
      <c r="F17" s="34"/>
      <c r="G17" s="34"/>
    </row>
    <row r="18" spans="1:7" x14ac:dyDescent="0.3">
      <c r="A18" s="32"/>
      <c r="B18" s="33"/>
      <c r="C18" s="33"/>
      <c r="D18" s="33"/>
      <c r="E18" s="33"/>
      <c r="F18" s="34"/>
      <c r="G18" s="34"/>
    </row>
    <row r="19" spans="1:7" x14ac:dyDescent="0.3">
      <c r="A19" s="32"/>
      <c r="B19" s="33"/>
      <c r="C19" s="33"/>
      <c r="D19" s="33"/>
      <c r="E19" s="33"/>
      <c r="F19" s="34"/>
      <c r="G19" s="34"/>
    </row>
    <row r="20" spans="1:7" x14ac:dyDescent="0.3">
      <c r="A20" s="32"/>
      <c r="B20" s="33"/>
      <c r="C20" s="33"/>
      <c r="D20" s="33"/>
      <c r="E20" s="33"/>
      <c r="F20" s="34"/>
      <c r="G20" s="34"/>
    </row>
    <row r="21" spans="1:7" x14ac:dyDescent="0.3">
      <c r="A21" s="32"/>
      <c r="B21" s="33"/>
      <c r="C21" s="33"/>
      <c r="D21" s="33"/>
      <c r="E21" s="33"/>
      <c r="F21" s="34"/>
      <c r="G21" s="34"/>
    </row>
    <row r="22" spans="1:7" x14ac:dyDescent="0.3">
      <c r="A22" s="32"/>
      <c r="B22" s="33"/>
      <c r="C22" s="33"/>
      <c r="D22" s="33"/>
      <c r="E22" s="33"/>
      <c r="F22" s="34"/>
      <c r="G22" s="34"/>
    </row>
    <row r="23" spans="1:7" x14ac:dyDescent="0.3">
      <c r="A23" s="32"/>
      <c r="B23" s="35"/>
      <c r="C23" s="35"/>
      <c r="D23" s="35"/>
      <c r="E23" s="35"/>
      <c r="F23" s="36"/>
      <c r="G23" s="36"/>
    </row>
  </sheetData>
  <pageMargins left="0.7" right="0.7" top="0.75" bottom="0.75" header="0.3" footer="0.3"/>
  <pageSetup orientation="portrait" r:id="rId1"/>
  <ignoredErrors>
    <ignoredError sqref="E10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C400-3205-446F-94E5-734105841184}">
  <dimension ref="A1:X69"/>
  <sheetViews>
    <sheetView zoomScale="50" zoomScaleNormal="35" workbookViewId="0">
      <selection activeCell="V9" sqref="V9"/>
    </sheetView>
  </sheetViews>
  <sheetFormatPr defaultRowHeight="14.4" x14ac:dyDescent="0.3"/>
  <cols>
    <col min="3" max="3" width="8.88671875" customWidth="1"/>
    <col min="12" max="12" width="11.33203125" customWidth="1"/>
    <col min="13" max="13" width="13.77734375" customWidth="1"/>
    <col min="18" max="18" width="7.109375" customWidth="1"/>
  </cols>
  <sheetData>
    <row r="1" spans="1:24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9"/>
      <c r="S1" s="19"/>
      <c r="T1" s="19"/>
      <c r="U1" s="19"/>
      <c r="V1" s="19"/>
      <c r="W1" s="19"/>
      <c r="X1" s="19"/>
    </row>
    <row r="2" spans="1:24" ht="31.2" x14ac:dyDescent="0.6">
      <c r="A2" s="20"/>
      <c r="B2" s="20"/>
      <c r="C2" s="20"/>
      <c r="D2" s="41" t="s">
        <v>466</v>
      </c>
      <c r="E2" s="23"/>
      <c r="F2" s="21"/>
      <c r="G2" s="23"/>
      <c r="H2" s="23"/>
      <c r="I2" s="23"/>
      <c r="J2" s="23"/>
      <c r="K2" s="22"/>
      <c r="L2" s="23"/>
      <c r="M2" s="23"/>
      <c r="N2" s="20"/>
      <c r="O2" s="20"/>
      <c r="P2" s="20"/>
      <c r="Q2" s="20"/>
      <c r="R2" s="19"/>
      <c r="S2" s="19"/>
      <c r="T2" s="19"/>
      <c r="U2" s="19"/>
      <c r="V2" s="19"/>
      <c r="W2" s="19"/>
      <c r="X2" s="19"/>
    </row>
    <row r="3" spans="1:24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9"/>
      <c r="S3" s="19"/>
      <c r="T3" s="19"/>
      <c r="U3" s="19"/>
      <c r="V3" s="19"/>
      <c r="W3" s="19"/>
      <c r="X3" s="19"/>
    </row>
    <row r="4" spans="1:24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19"/>
      <c r="S4" s="19"/>
      <c r="T4" s="19"/>
      <c r="U4" s="19"/>
      <c r="V4" s="19"/>
      <c r="W4" s="19"/>
      <c r="X4" s="19"/>
    </row>
    <row r="5" spans="1:24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9"/>
      <c r="S5" s="19"/>
      <c r="T5" s="19"/>
      <c r="U5" s="19"/>
      <c r="V5" s="19"/>
      <c r="W5" s="19"/>
      <c r="X5" s="19"/>
    </row>
    <row r="6" spans="1:24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9"/>
      <c r="S6" s="19"/>
      <c r="T6" s="19"/>
      <c r="U6" s="19"/>
      <c r="V6" s="19"/>
      <c r="W6" s="19"/>
      <c r="X6" s="19"/>
    </row>
    <row r="7" spans="1:24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9"/>
      <c r="S7" s="19"/>
      <c r="T7" s="19"/>
      <c r="U7" s="19"/>
      <c r="V7" s="19"/>
      <c r="W7" s="19"/>
      <c r="X7" s="19"/>
    </row>
    <row r="8" spans="1:24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9"/>
      <c r="S8" s="19"/>
      <c r="T8" s="19"/>
      <c r="U8" s="19"/>
      <c r="V8" s="19"/>
      <c r="W8" s="19"/>
      <c r="X8" s="19"/>
    </row>
    <row r="9" spans="1:24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9"/>
      <c r="S9" s="19"/>
      <c r="T9" s="19"/>
      <c r="U9" s="19"/>
      <c r="V9" s="19"/>
      <c r="W9" s="19"/>
      <c r="X9" s="19"/>
    </row>
    <row r="10" spans="1:24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/>
      <c r="S10" s="19"/>
      <c r="T10" s="19"/>
      <c r="U10" s="19"/>
      <c r="V10" s="19"/>
      <c r="W10" s="19"/>
      <c r="X10" s="19"/>
    </row>
    <row r="11" spans="1:24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/>
      <c r="S11" s="19"/>
      <c r="T11" s="19"/>
      <c r="U11" s="19"/>
      <c r="V11" s="19"/>
      <c r="W11" s="19"/>
      <c r="X11" s="19"/>
    </row>
    <row r="12" spans="1:24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/>
      <c r="S12" s="19"/>
      <c r="T12" s="19"/>
      <c r="U12" s="19"/>
      <c r="V12" s="19"/>
      <c r="W12" s="19"/>
      <c r="X12" s="19"/>
    </row>
    <row r="13" spans="1:24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/>
      <c r="S13" s="19"/>
      <c r="T13" s="19"/>
      <c r="U13" s="19"/>
      <c r="V13" s="19"/>
      <c r="W13" s="19"/>
      <c r="X13" s="19"/>
    </row>
    <row r="14" spans="1:24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/>
      <c r="S14" s="19"/>
      <c r="T14" s="19"/>
      <c r="U14" s="19"/>
      <c r="V14" s="19"/>
      <c r="W14" s="19"/>
      <c r="X14" s="19"/>
    </row>
    <row r="15" spans="1:24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/>
      <c r="S15" s="19"/>
      <c r="T15" s="19"/>
      <c r="U15" s="19"/>
      <c r="V15" s="19"/>
      <c r="W15" s="19"/>
      <c r="X15" s="19"/>
    </row>
    <row r="16" spans="1:24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/>
      <c r="S16" s="19"/>
      <c r="T16" s="19"/>
      <c r="U16" s="19"/>
      <c r="V16" s="19"/>
      <c r="W16" s="19"/>
      <c r="X16" s="19"/>
    </row>
    <row r="17" spans="1:24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/>
      <c r="S17" s="19"/>
      <c r="T17" s="19"/>
      <c r="U17" s="19"/>
      <c r="V17" s="19"/>
      <c r="W17" s="19"/>
      <c r="X17" s="19"/>
    </row>
    <row r="18" spans="1:24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19"/>
      <c r="X18" s="19"/>
    </row>
    <row r="19" spans="1:24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/>
      <c r="S19" s="19"/>
      <c r="T19" s="19"/>
      <c r="U19" s="19"/>
      <c r="V19" s="19"/>
      <c r="W19" s="19"/>
      <c r="X19" s="19"/>
    </row>
    <row r="20" spans="1:24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/>
      <c r="S20" s="19"/>
      <c r="T20" s="19"/>
      <c r="U20" s="19"/>
      <c r="V20" s="19"/>
      <c r="W20" s="19"/>
      <c r="X20" s="19"/>
    </row>
    <row r="21" spans="1:24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19"/>
      <c r="X21" s="19"/>
    </row>
    <row r="22" spans="1:24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/>
      <c r="S22" s="19"/>
      <c r="T22" s="19"/>
      <c r="U22" s="19"/>
      <c r="V22" s="19"/>
      <c r="W22" s="19"/>
      <c r="X22" s="19"/>
    </row>
    <row r="23" spans="1:24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/>
      <c r="S23" s="19"/>
      <c r="T23" s="19"/>
      <c r="U23" s="19"/>
      <c r="V23" s="19"/>
      <c r="W23" s="19"/>
      <c r="X23" s="19"/>
    </row>
    <row r="24" spans="1:24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/>
      <c r="S24" s="19"/>
      <c r="T24" s="19"/>
      <c r="U24" s="19"/>
      <c r="V24" s="19"/>
      <c r="W24" s="19"/>
      <c r="X24" s="19"/>
    </row>
    <row r="25" spans="1:24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/>
      <c r="S25" s="19"/>
      <c r="T25" s="19"/>
      <c r="U25" s="19"/>
      <c r="V25" s="19"/>
      <c r="W25" s="19"/>
      <c r="X25" s="19"/>
    </row>
    <row r="26" spans="1:24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/>
      <c r="S26" s="19"/>
      <c r="T26" s="19"/>
      <c r="U26" s="19"/>
      <c r="V26" s="19"/>
      <c r="W26" s="19"/>
      <c r="X26" s="19"/>
    </row>
    <row r="27" spans="1:24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/>
      <c r="S27" s="19"/>
      <c r="T27" s="19"/>
      <c r="U27" s="19"/>
      <c r="V27" s="19"/>
      <c r="W27" s="19"/>
      <c r="X27" s="19"/>
    </row>
    <row r="28" spans="1:24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/>
      <c r="S28" s="19"/>
      <c r="T28" s="19"/>
      <c r="U28" s="19"/>
      <c r="V28" s="19"/>
      <c r="W28" s="19"/>
      <c r="X28" s="19"/>
    </row>
    <row r="29" spans="1:24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/>
      <c r="S29" s="19"/>
      <c r="T29" s="19"/>
      <c r="U29" s="19"/>
      <c r="V29" s="19"/>
      <c r="W29" s="19"/>
      <c r="X29" s="19"/>
    </row>
    <row r="30" spans="1:24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/>
      <c r="S30" s="19"/>
      <c r="T30" s="19"/>
      <c r="U30" s="19"/>
      <c r="V30" s="19"/>
      <c r="W30" s="19"/>
      <c r="X30" s="19"/>
    </row>
    <row r="31" spans="1:24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/>
      <c r="S31" s="19"/>
      <c r="T31" s="19"/>
      <c r="U31" s="19"/>
      <c r="V31" s="19"/>
      <c r="W31" s="19"/>
      <c r="X31" s="19"/>
    </row>
    <row r="32" spans="1:24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/>
      <c r="S32" s="19"/>
      <c r="T32" s="19"/>
      <c r="U32" s="19"/>
      <c r="V32" s="19"/>
      <c r="W32" s="19"/>
      <c r="X32" s="19"/>
    </row>
    <row r="33" spans="1:24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/>
      <c r="S33" s="19"/>
      <c r="T33" s="19"/>
      <c r="U33" s="19"/>
      <c r="V33" s="19"/>
      <c r="W33" s="19"/>
      <c r="X33" s="19"/>
    </row>
    <row r="34" spans="1:24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/>
      <c r="S34" s="19"/>
      <c r="T34" s="19"/>
      <c r="U34" s="19"/>
      <c r="V34" s="19"/>
      <c r="W34" s="19"/>
      <c r="X34" s="19"/>
    </row>
    <row r="35" spans="1:24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/>
      <c r="S35" s="19"/>
      <c r="T35" s="19"/>
      <c r="U35" s="19"/>
      <c r="V35" s="19"/>
      <c r="W35" s="19"/>
      <c r="X35" s="19"/>
    </row>
    <row r="36" spans="1:24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/>
      <c r="S36" s="19"/>
      <c r="T36" s="19"/>
      <c r="U36" s="19"/>
      <c r="V36" s="19"/>
      <c r="W36" s="19"/>
      <c r="X36" s="19"/>
    </row>
    <row r="37" spans="1:24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/>
      <c r="S37" s="19"/>
      <c r="T37" s="19"/>
      <c r="U37" s="19"/>
      <c r="V37" s="19"/>
      <c r="W37" s="19"/>
      <c r="X37" s="19"/>
    </row>
    <row r="38" spans="1:24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/>
      <c r="S38" s="19"/>
      <c r="T38" s="19"/>
      <c r="U38" s="19"/>
      <c r="V38" s="19"/>
      <c r="W38" s="19"/>
      <c r="X38" s="19"/>
    </row>
    <row r="39" spans="1:24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/>
      <c r="S39" s="19"/>
      <c r="T39" s="19"/>
      <c r="U39" s="19"/>
      <c r="V39" s="19"/>
      <c r="W39" s="19"/>
      <c r="X39" s="19"/>
    </row>
    <row r="40" spans="1:24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/>
      <c r="S40" s="19"/>
      <c r="T40" s="19"/>
      <c r="U40" s="19"/>
      <c r="V40" s="19"/>
      <c r="W40" s="19"/>
      <c r="X40" s="19"/>
    </row>
    <row r="41" spans="1:24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/>
      <c r="S41" s="19"/>
      <c r="T41" s="19"/>
      <c r="U41" s="19"/>
      <c r="V41" s="19"/>
      <c r="W41" s="19"/>
      <c r="X41" s="19"/>
    </row>
    <row r="42" spans="1:24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/>
      <c r="S42" s="19"/>
      <c r="T42" s="19"/>
      <c r="U42" s="19"/>
      <c r="V42" s="19"/>
      <c r="W42" s="19"/>
      <c r="X42" s="19"/>
    </row>
    <row r="43" spans="1:24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/>
      <c r="S43" s="19"/>
      <c r="T43" s="19"/>
      <c r="U43" s="19"/>
      <c r="V43" s="19"/>
      <c r="W43" s="19"/>
      <c r="X43" s="19"/>
    </row>
    <row r="44" spans="1:24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/>
      <c r="S44" s="19"/>
      <c r="T44" s="19"/>
      <c r="U44" s="19"/>
      <c r="V44" s="19"/>
      <c r="W44" s="19"/>
      <c r="X44" s="19"/>
    </row>
    <row r="45" spans="1:24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/>
      <c r="S45" s="19"/>
      <c r="T45" s="19"/>
      <c r="U45" s="19"/>
      <c r="V45" s="19"/>
      <c r="W45" s="19"/>
      <c r="X45" s="19"/>
    </row>
    <row r="46" spans="1:24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/>
      <c r="S46" s="19"/>
      <c r="T46" s="19"/>
      <c r="U46" s="19"/>
      <c r="V46" s="19"/>
      <c r="W46" s="19"/>
      <c r="X46" s="19"/>
    </row>
    <row r="47" spans="1:24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/>
      <c r="S47" s="19"/>
      <c r="T47" s="19"/>
      <c r="U47" s="19"/>
      <c r="V47" s="19"/>
      <c r="W47" s="19"/>
      <c r="X47" s="19"/>
    </row>
    <row r="48" spans="1:24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/>
      <c r="S48" s="19"/>
      <c r="T48" s="19"/>
      <c r="U48" s="19"/>
      <c r="V48" s="19"/>
      <c r="W48" s="19"/>
      <c r="X48" s="19"/>
    </row>
    <row r="49" spans="1:24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/>
      <c r="S49" s="19"/>
      <c r="T49" s="19"/>
      <c r="U49" s="19"/>
      <c r="V49" s="19"/>
      <c r="W49" s="19"/>
      <c r="X49" s="19"/>
    </row>
    <row r="50" spans="1:24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/>
      <c r="S50" s="19"/>
      <c r="T50" s="19"/>
      <c r="U50" s="19"/>
      <c r="V50" s="19"/>
      <c r="W50" s="19"/>
      <c r="X50" s="19"/>
    </row>
    <row r="51" spans="1:24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/>
      <c r="S51" s="19"/>
      <c r="T51" s="19"/>
      <c r="U51" s="19"/>
      <c r="V51" s="19"/>
      <c r="W51" s="19"/>
      <c r="X51" s="19"/>
    </row>
    <row r="52" spans="1:24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/>
      <c r="S52" s="19"/>
      <c r="T52" s="19"/>
      <c r="U52" s="19"/>
      <c r="V52" s="19"/>
      <c r="W52" s="19"/>
      <c r="X52" s="19"/>
    </row>
    <row r="53" spans="1:24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/>
      <c r="S53" s="19"/>
      <c r="T53" s="19"/>
      <c r="U53" s="19"/>
      <c r="V53" s="19"/>
      <c r="W53" s="19"/>
      <c r="X53" s="19"/>
    </row>
    <row r="54" spans="1:24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24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24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24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24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24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24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24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24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24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24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0670-F483-4E67-87BD-3084DDCFBAA1}">
  <dimension ref="A1:R380"/>
  <sheetViews>
    <sheetView zoomScale="94" workbookViewId="0">
      <selection activeCell="D15" sqref="D15"/>
    </sheetView>
  </sheetViews>
  <sheetFormatPr defaultRowHeight="14.4" x14ac:dyDescent="0.3"/>
  <cols>
    <col min="1" max="1" width="14.88671875" customWidth="1"/>
    <col min="2" max="2" width="15.33203125" style="2" customWidth="1"/>
    <col min="3" max="3" width="12.77734375" customWidth="1"/>
    <col min="4" max="4" width="16.21875" customWidth="1"/>
    <col min="5" max="5" width="18.109375" customWidth="1"/>
    <col min="6" max="6" width="11.88671875" customWidth="1"/>
    <col min="7" max="7" width="19.5546875" customWidth="1"/>
    <col min="8" max="8" width="14" customWidth="1"/>
    <col min="9" max="9" width="18.5546875" style="2" customWidth="1"/>
    <col min="10" max="10" width="14" style="2" customWidth="1"/>
    <col min="11" max="11" width="19.88671875" customWidth="1"/>
    <col min="14" max="14" width="11.33203125" customWidth="1"/>
  </cols>
  <sheetData>
    <row r="1" spans="1:18" ht="23.4" x14ac:dyDescent="0.45">
      <c r="E1" s="40" t="s">
        <v>472</v>
      </c>
      <c r="F1" s="20"/>
      <c r="G1" s="20"/>
      <c r="H1" s="20"/>
    </row>
    <row r="2" spans="1:18" ht="10.8" customHeight="1" x14ac:dyDescent="0.3"/>
    <row r="3" spans="1:18" x14ac:dyDescent="0.3">
      <c r="A3" s="1" t="s">
        <v>0</v>
      </c>
      <c r="B3" s="3" t="s">
        <v>1</v>
      </c>
      <c r="C3" s="1" t="s">
        <v>411</v>
      </c>
      <c r="D3" s="1" t="s">
        <v>2</v>
      </c>
      <c r="E3" s="1" t="s">
        <v>431</v>
      </c>
      <c r="F3" s="1" t="s">
        <v>433</v>
      </c>
      <c r="G3" s="1" t="s">
        <v>3</v>
      </c>
      <c r="H3" s="1" t="s">
        <v>430</v>
      </c>
      <c r="I3" s="3" t="s">
        <v>4</v>
      </c>
      <c r="J3" s="3" t="s">
        <v>412</v>
      </c>
      <c r="K3" s="1" t="s">
        <v>416</v>
      </c>
      <c r="N3" t="s">
        <v>413</v>
      </c>
      <c r="Q3" t="s">
        <v>432</v>
      </c>
    </row>
    <row r="4" spans="1:18" x14ac:dyDescent="0.3">
      <c r="A4">
        <v>88</v>
      </c>
      <c r="B4" s="2">
        <v>45717</v>
      </c>
      <c r="C4" t="str">
        <f>VLOOKUP(D4, Member_Master!A:B, 2, FALSE)</f>
        <v>M043</v>
      </c>
      <c r="D4" t="s">
        <v>50</v>
      </c>
      <c r="E4">
        <v>1000</v>
      </c>
      <c r="F4" t="str">
        <f t="shared" ref="F4:F67" si="0">IF(E4&lt;=2200,"Monthly",IF(E4&lt;=4500,"3 Months",
IF(E4&lt;=7000,"6 Months",
"Yearly")))</f>
        <v>Monthly</v>
      </c>
      <c r="G4" t="s">
        <v>6</v>
      </c>
      <c r="H4" t="s">
        <v>7</v>
      </c>
      <c r="I4" s="2">
        <v>45717</v>
      </c>
      <c r="J4" s="2">
        <f t="shared" ref="J4:J67" si="1">IF(F4="Monthly",B4+30,IF(F4="3 Months",B4+90,IF(F4="6 Months",B4+180,IF(F4="Yearly",B4+365,"Check Plan"))))</f>
        <v>45747</v>
      </c>
      <c r="K4" t="str">
        <f t="shared" ref="K4:K67" si="2">IF($N$4&lt;=J4,"Active",IF($N$4-J4&lt;=30,"At Risk","Churn Risk"))</f>
        <v>Churn Risk</v>
      </c>
      <c r="N4" s="2">
        <v>45900</v>
      </c>
      <c r="Q4" t="s">
        <v>434</v>
      </c>
      <c r="R4">
        <v>30</v>
      </c>
    </row>
    <row r="5" spans="1:18" x14ac:dyDescent="0.3">
      <c r="A5">
        <v>241</v>
      </c>
      <c r="B5" s="2">
        <v>45717</v>
      </c>
      <c r="C5" t="str">
        <f>VLOOKUP(D5, Member_Master!A:B, 2, FALSE)</f>
        <v>M117</v>
      </c>
      <c r="D5" t="s">
        <v>124</v>
      </c>
      <c r="E5">
        <v>1000</v>
      </c>
      <c r="F5" t="str">
        <f t="shared" si="0"/>
        <v>Monthly</v>
      </c>
      <c r="G5" t="s">
        <v>9</v>
      </c>
      <c r="H5" t="s">
        <v>7</v>
      </c>
      <c r="I5" s="2">
        <v>45717</v>
      </c>
      <c r="J5" s="2">
        <f t="shared" si="1"/>
        <v>45747</v>
      </c>
      <c r="K5" t="str">
        <f t="shared" si="2"/>
        <v>Churn Risk</v>
      </c>
      <c r="Q5" t="s">
        <v>435</v>
      </c>
      <c r="R5">
        <v>90</v>
      </c>
    </row>
    <row r="6" spans="1:18" x14ac:dyDescent="0.3">
      <c r="A6">
        <v>330</v>
      </c>
      <c r="B6" s="2">
        <v>45717</v>
      </c>
      <c r="C6" t="str">
        <f>VLOOKUP(D6, Member_Master!A:B, 2, FALSE)</f>
        <v>M176</v>
      </c>
      <c r="D6" t="s">
        <v>183</v>
      </c>
      <c r="E6">
        <v>1000</v>
      </c>
      <c r="F6" t="str">
        <f t="shared" si="0"/>
        <v>Monthly</v>
      </c>
      <c r="G6" t="s">
        <v>9</v>
      </c>
      <c r="H6" t="s">
        <v>7</v>
      </c>
      <c r="I6" s="2">
        <v>45717</v>
      </c>
      <c r="J6" s="2">
        <f t="shared" si="1"/>
        <v>45747</v>
      </c>
      <c r="K6" t="str">
        <f t="shared" si="2"/>
        <v>Churn Risk</v>
      </c>
      <c r="Q6" t="s">
        <v>436</v>
      </c>
      <c r="R6">
        <v>180</v>
      </c>
    </row>
    <row r="7" spans="1:18" x14ac:dyDescent="0.3">
      <c r="A7">
        <v>134</v>
      </c>
      <c r="B7" s="2">
        <v>45719</v>
      </c>
      <c r="C7" t="str">
        <f>VLOOKUP(D7, Member_Master!A:B, 2, FALSE)</f>
        <v>M069</v>
      </c>
      <c r="D7" t="s">
        <v>76</v>
      </c>
      <c r="E7">
        <v>1000</v>
      </c>
      <c r="F7" t="str">
        <f t="shared" si="0"/>
        <v>Monthly</v>
      </c>
      <c r="G7" t="s">
        <v>6</v>
      </c>
      <c r="H7" t="s">
        <v>7</v>
      </c>
      <c r="I7" s="2">
        <v>45717</v>
      </c>
      <c r="J7" s="2">
        <f t="shared" si="1"/>
        <v>45749</v>
      </c>
      <c r="K7" t="str">
        <f t="shared" si="2"/>
        <v>Churn Risk</v>
      </c>
      <c r="Q7" t="s">
        <v>437</v>
      </c>
      <c r="R7">
        <v>365</v>
      </c>
    </row>
    <row r="8" spans="1:18" x14ac:dyDescent="0.3">
      <c r="A8">
        <v>62</v>
      </c>
      <c r="B8" s="2">
        <v>45720</v>
      </c>
      <c r="C8" t="str">
        <f>VLOOKUP(D8, Member_Master!A:B, 2, FALSE)</f>
        <v>M031</v>
      </c>
      <c r="D8" t="s">
        <v>38</v>
      </c>
      <c r="E8">
        <v>1000</v>
      </c>
      <c r="F8" t="str">
        <f t="shared" si="0"/>
        <v>Monthly</v>
      </c>
      <c r="G8" t="s">
        <v>9</v>
      </c>
      <c r="H8" t="s">
        <v>7</v>
      </c>
      <c r="I8" s="2">
        <v>45717</v>
      </c>
      <c r="J8" s="2">
        <f t="shared" si="1"/>
        <v>45750</v>
      </c>
      <c r="K8" t="str">
        <f t="shared" si="2"/>
        <v>Churn Risk</v>
      </c>
    </row>
    <row r="9" spans="1:18" x14ac:dyDescent="0.3">
      <c r="A9">
        <v>90</v>
      </c>
      <c r="B9" s="2">
        <v>45720</v>
      </c>
      <c r="C9" t="str">
        <f>VLOOKUP(D9, Member_Master!A:B, 2, FALSE)</f>
        <v>M044</v>
      </c>
      <c r="D9" t="s">
        <v>51</v>
      </c>
      <c r="E9">
        <v>4800</v>
      </c>
      <c r="F9" t="str">
        <f t="shared" si="0"/>
        <v>6 Months</v>
      </c>
      <c r="G9" t="s">
        <v>6</v>
      </c>
      <c r="H9" t="s">
        <v>7</v>
      </c>
      <c r="I9" s="2">
        <v>45717</v>
      </c>
      <c r="J9" s="2">
        <f t="shared" si="1"/>
        <v>45900</v>
      </c>
      <c r="K9" t="str">
        <f t="shared" si="2"/>
        <v>Active</v>
      </c>
    </row>
    <row r="10" spans="1:18" x14ac:dyDescent="0.3">
      <c r="A10">
        <v>170</v>
      </c>
      <c r="B10" s="2">
        <v>45720</v>
      </c>
      <c r="C10" t="str">
        <f>VLOOKUP(D10, Member_Master!A:B, 2, FALSE)</f>
        <v>M080</v>
      </c>
      <c r="D10" t="s">
        <v>87</v>
      </c>
      <c r="E10">
        <v>1000</v>
      </c>
      <c r="F10" t="str">
        <f t="shared" si="0"/>
        <v>Monthly</v>
      </c>
      <c r="G10" t="s">
        <v>6</v>
      </c>
      <c r="H10" t="s">
        <v>7</v>
      </c>
      <c r="I10" s="2">
        <v>45717</v>
      </c>
      <c r="J10" s="2">
        <f t="shared" si="1"/>
        <v>45750</v>
      </c>
      <c r="K10" t="str">
        <f t="shared" si="2"/>
        <v>Churn Risk</v>
      </c>
    </row>
    <row r="11" spans="1:18" x14ac:dyDescent="0.3">
      <c r="A11">
        <v>202</v>
      </c>
      <c r="B11" s="2">
        <v>45720</v>
      </c>
      <c r="C11" t="str">
        <f>VLOOKUP(D11, Member_Master!A:B, 2, FALSE)</f>
        <v>M096</v>
      </c>
      <c r="D11" t="s">
        <v>103</v>
      </c>
      <c r="E11">
        <v>4800</v>
      </c>
      <c r="F11" t="str">
        <f t="shared" si="0"/>
        <v>6 Months</v>
      </c>
      <c r="G11" t="s">
        <v>9</v>
      </c>
      <c r="H11" t="s">
        <v>7</v>
      </c>
      <c r="I11" s="2">
        <v>45717</v>
      </c>
      <c r="J11" s="2">
        <f t="shared" si="1"/>
        <v>45900</v>
      </c>
      <c r="K11" t="str">
        <f t="shared" si="2"/>
        <v>Active</v>
      </c>
    </row>
    <row r="12" spans="1:18" x14ac:dyDescent="0.3">
      <c r="A12">
        <v>221</v>
      </c>
      <c r="B12" s="2">
        <v>45720</v>
      </c>
      <c r="C12" t="str">
        <f>VLOOKUP(D12, Member_Master!A:B, 2, FALSE)</f>
        <v>M108</v>
      </c>
      <c r="D12" t="s">
        <v>115</v>
      </c>
      <c r="E12">
        <v>1000</v>
      </c>
      <c r="F12" t="str">
        <f t="shared" si="0"/>
        <v>Monthly</v>
      </c>
      <c r="G12" t="s">
        <v>9</v>
      </c>
      <c r="H12" t="s">
        <v>7</v>
      </c>
      <c r="I12" s="2">
        <v>45717</v>
      </c>
      <c r="J12" s="2">
        <f t="shared" si="1"/>
        <v>45750</v>
      </c>
      <c r="K12" t="str">
        <f t="shared" si="2"/>
        <v>Churn Risk</v>
      </c>
    </row>
    <row r="13" spans="1:18" x14ac:dyDescent="0.3">
      <c r="A13">
        <v>287</v>
      </c>
      <c r="B13" s="2">
        <v>45720</v>
      </c>
      <c r="C13" t="str">
        <f>VLOOKUP(D13, Member_Master!A:B, 2, FALSE)</f>
        <v>M145</v>
      </c>
      <c r="D13" t="s">
        <v>152</v>
      </c>
      <c r="E13">
        <v>1000</v>
      </c>
      <c r="F13" t="str">
        <f t="shared" si="0"/>
        <v>Monthly</v>
      </c>
      <c r="G13" t="s">
        <v>9</v>
      </c>
      <c r="H13" t="s">
        <v>7</v>
      </c>
      <c r="I13" s="2">
        <v>45717</v>
      </c>
      <c r="J13" s="2">
        <f t="shared" si="1"/>
        <v>45750</v>
      </c>
      <c r="K13" t="str">
        <f t="shared" si="2"/>
        <v>Churn Risk</v>
      </c>
    </row>
    <row r="14" spans="1:18" x14ac:dyDescent="0.3">
      <c r="A14">
        <v>122</v>
      </c>
      <c r="B14" s="2">
        <v>45721</v>
      </c>
      <c r="C14" t="str">
        <f>VLOOKUP(D14, Member_Master!A:B, 2, FALSE)</f>
        <v>M065</v>
      </c>
      <c r="D14" t="s">
        <v>72</v>
      </c>
      <c r="E14">
        <v>1000</v>
      </c>
      <c r="F14" t="str">
        <f t="shared" si="0"/>
        <v>Monthly</v>
      </c>
      <c r="G14" t="s">
        <v>6</v>
      </c>
      <c r="H14" t="s">
        <v>7</v>
      </c>
      <c r="I14" s="2">
        <v>45717</v>
      </c>
      <c r="J14" s="2">
        <f t="shared" si="1"/>
        <v>45751</v>
      </c>
      <c r="K14" t="str">
        <f t="shared" si="2"/>
        <v>Churn Risk</v>
      </c>
    </row>
    <row r="15" spans="1:18" x14ac:dyDescent="0.3">
      <c r="A15">
        <v>183</v>
      </c>
      <c r="B15" s="2">
        <v>45721</v>
      </c>
      <c r="C15" t="str">
        <f>VLOOKUP(D15, Member_Master!A:B, 2, FALSE)</f>
        <v>M084</v>
      </c>
      <c r="D15" t="s">
        <v>91</v>
      </c>
      <c r="E15">
        <v>1000</v>
      </c>
      <c r="F15" t="str">
        <f t="shared" si="0"/>
        <v>Monthly</v>
      </c>
      <c r="G15" t="s">
        <v>9</v>
      </c>
      <c r="H15" t="s">
        <v>7</v>
      </c>
      <c r="I15" s="2">
        <v>45717</v>
      </c>
      <c r="J15" s="2">
        <f t="shared" si="1"/>
        <v>45751</v>
      </c>
      <c r="K15" t="str">
        <f t="shared" si="2"/>
        <v>Churn Risk</v>
      </c>
    </row>
    <row r="16" spans="1:18" x14ac:dyDescent="0.3">
      <c r="A16">
        <v>197</v>
      </c>
      <c r="B16" s="2">
        <v>45721</v>
      </c>
      <c r="C16" t="str">
        <f>VLOOKUP(D16, Member_Master!A:B, 2, FALSE)</f>
        <v>M093</v>
      </c>
      <c r="D16" t="s">
        <v>100</v>
      </c>
      <c r="E16">
        <v>1000</v>
      </c>
      <c r="F16" t="str">
        <f t="shared" si="0"/>
        <v>Monthly</v>
      </c>
      <c r="G16" t="s">
        <v>9</v>
      </c>
      <c r="H16" t="s">
        <v>7</v>
      </c>
      <c r="I16" s="2">
        <v>45717</v>
      </c>
      <c r="J16" s="2">
        <f t="shared" si="1"/>
        <v>45751</v>
      </c>
      <c r="K16" t="str">
        <f t="shared" si="2"/>
        <v>Churn Risk</v>
      </c>
    </row>
    <row r="17" spans="1:11" x14ac:dyDescent="0.3">
      <c r="A17">
        <v>199</v>
      </c>
      <c r="B17" s="2">
        <v>45721</v>
      </c>
      <c r="C17" t="str">
        <f>VLOOKUP(D17, Member_Master!A:B, 2, FALSE)</f>
        <v>M094</v>
      </c>
      <c r="D17" t="s">
        <v>101</v>
      </c>
      <c r="E17">
        <v>2400</v>
      </c>
      <c r="F17" t="str">
        <f t="shared" si="0"/>
        <v>3 Months</v>
      </c>
      <c r="G17" t="s">
        <v>9</v>
      </c>
      <c r="H17" t="s">
        <v>7</v>
      </c>
      <c r="I17" s="2">
        <v>45717</v>
      </c>
      <c r="J17" s="2">
        <f t="shared" si="1"/>
        <v>45811</v>
      </c>
      <c r="K17" t="str">
        <f t="shared" si="2"/>
        <v>Churn Risk</v>
      </c>
    </row>
    <row r="18" spans="1:11" x14ac:dyDescent="0.3">
      <c r="A18">
        <v>233</v>
      </c>
      <c r="B18" s="2">
        <v>45721</v>
      </c>
      <c r="C18" t="str">
        <f>VLOOKUP(D18, Member_Master!A:B, 2, FALSE)</f>
        <v>M112</v>
      </c>
      <c r="D18" t="s">
        <v>119</v>
      </c>
      <c r="E18">
        <v>1000</v>
      </c>
      <c r="F18" t="str">
        <f t="shared" si="0"/>
        <v>Monthly</v>
      </c>
      <c r="G18" t="s">
        <v>6</v>
      </c>
      <c r="H18" t="s">
        <v>7</v>
      </c>
      <c r="I18" s="2">
        <v>45717</v>
      </c>
      <c r="J18" s="2">
        <f t="shared" si="1"/>
        <v>45751</v>
      </c>
      <c r="K18" t="str">
        <f t="shared" si="2"/>
        <v>Churn Risk</v>
      </c>
    </row>
    <row r="19" spans="1:11" x14ac:dyDescent="0.3">
      <c r="A19">
        <v>371</v>
      </c>
      <c r="B19" s="2">
        <v>45721</v>
      </c>
      <c r="C19" t="str">
        <f>VLOOKUP(D19, Member_Master!A:B, 2, FALSE)</f>
        <v>M198</v>
      </c>
      <c r="D19" t="s">
        <v>205</v>
      </c>
      <c r="E19">
        <v>1000</v>
      </c>
      <c r="F19" t="str">
        <f t="shared" si="0"/>
        <v>Monthly</v>
      </c>
      <c r="G19" t="s">
        <v>9</v>
      </c>
      <c r="H19" t="s">
        <v>7</v>
      </c>
      <c r="I19" s="2">
        <v>45717</v>
      </c>
      <c r="J19" s="2">
        <f t="shared" si="1"/>
        <v>45751</v>
      </c>
      <c r="K19" t="str">
        <f t="shared" si="2"/>
        <v>Churn Risk</v>
      </c>
    </row>
    <row r="20" spans="1:11" x14ac:dyDescent="0.3">
      <c r="A20">
        <v>5</v>
      </c>
      <c r="B20" s="2">
        <v>45722</v>
      </c>
      <c r="C20" t="str">
        <f>VLOOKUP(D20, Member_Master!A:B, 2, FALSE)</f>
        <v>M004</v>
      </c>
      <c r="D20" t="s">
        <v>11</v>
      </c>
      <c r="E20">
        <v>1000</v>
      </c>
      <c r="F20" t="str">
        <f t="shared" si="0"/>
        <v>Monthly</v>
      </c>
      <c r="G20" t="s">
        <v>9</v>
      </c>
      <c r="H20" t="s">
        <v>7</v>
      </c>
      <c r="I20" s="2">
        <v>45717</v>
      </c>
      <c r="J20" s="2">
        <f t="shared" si="1"/>
        <v>45752</v>
      </c>
      <c r="K20" t="str">
        <f t="shared" si="2"/>
        <v>Churn Risk</v>
      </c>
    </row>
    <row r="21" spans="1:11" x14ac:dyDescent="0.3">
      <c r="A21">
        <v>19</v>
      </c>
      <c r="B21" s="2">
        <v>45722</v>
      </c>
      <c r="C21" t="str">
        <f>VLOOKUP(D21, Member_Master!A:B, 2, FALSE)</f>
        <v>M010</v>
      </c>
      <c r="D21" t="s">
        <v>17</v>
      </c>
      <c r="E21">
        <v>1000</v>
      </c>
      <c r="F21" t="str">
        <f t="shared" si="0"/>
        <v>Monthly</v>
      </c>
      <c r="G21" t="s">
        <v>9</v>
      </c>
      <c r="H21" t="s">
        <v>7</v>
      </c>
      <c r="I21" s="2">
        <v>45717</v>
      </c>
      <c r="J21" s="2">
        <f t="shared" si="1"/>
        <v>45752</v>
      </c>
      <c r="K21" t="str">
        <f t="shared" si="2"/>
        <v>Churn Risk</v>
      </c>
    </row>
    <row r="22" spans="1:11" x14ac:dyDescent="0.3">
      <c r="A22">
        <v>217</v>
      </c>
      <c r="B22" s="2">
        <v>45722</v>
      </c>
      <c r="C22" t="str">
        <f>VLOOKUP(D22, Member_Master!A:B, 2, FALSE)</f>
        <v>M105</v>
      </c>
      <c r="D22" t="s">
        <v>112</v>
      </c>
      <c r="E22">
        <v>4500</v>
      </c>
      <c r="F22" t="str">
        <f t="shared" si="0"/>
        <v>3 Months</v>
      </c>
      <c r="G22" t="s">
        <v>6</v>
      </c>
      <c r="H22" t="s">
        <v>467</v>
      </c>
      <c r="I22" s="2">
        <v>45717</v>
      </c>
      <c r="J22" s="2">
        <f t="shared" si="1"/>
        <v>45812</v>
      </c>
      <c r="K22" t="str">
        <f t="shared" si="2"/>
        <v>Churn Risk</v>
      </c>
    </row>
    <row r="23" spans="1:11" x14ac:dyDescent="0.3">
      <c r="A23">
        <v>66</v>
      </c>
      <c r="B23" s="2">
        <v>45723</v>
      </c>
      <c r="C23" t="str">
        <f>VLOOKUP(D23, Member_Master!A:B, 2, FALSE)</f>
        <v>M032</v>
      </c>
      <c r="D23" t="s">
        <v>39</v>
      </c>
      <c r="E23">
        <v>1000</v>
      </c>
      <c r="F23" t="str">
        <f t="shared" si="0"/>
        <v>Monthly</v>
      </c>
      <c r="G23" t="s">
        <v>6</v>
      </c>
      <c r="H23" t="s">
        <v>7</v>
      </c>
      <c r="I23" s="2">
        <v>45717</v>
      </c>
      <c r="J23" s="2">
        <f t="shared" si="1"/>
        <v>45753</v>
      </c>
      <c r="K23" t="str">
        <f t="shared" si="2"/>
        <v>Churn Risk</v>
      </c>
    </row>
    <row r="24" spans="1:11" x14ac:dyDescent="0.3">
      <c r="A24">
        <v>160</v>
      </c>
      <c r="B24" s="2">
        <v>45723</v>
      </c>
      <c r="C24" t="str">
        <f>VLOOKUP(D24, Member_Master!A:B, 2, FALSE)</f>
        <v>M076</v>
      </c>
      <c r="D24" t="s">
        <v>83</v>
      </c>
      <c r="E24">
        <v>3000</v>
      </c>
      <c r="F24" t="str">
        <f t="shared" si="0"/>
        <v>3 Months</v>
      </c>
      <c r="G24" t="s">
        <v>6</v>
      </c>
      <c r="H24" t="s">
        <v>467</v>
      </c>
      <c r="I24" s="2">
        <v>45717</v>
      </c>
      <c r="J24" s="2">
        <f t="shared" si="1"/>
        <v>45813</v>
      </c>
      <c r="K24" t="str">
        <f t="shared" si="2"/>
        <v>Churn Risk</v>
      </c>
    </row>
    <row r="25" spans="1:11" x14ac:dyDescent="0.3">
      <c r="A25">
        <v>303</v>
      </c>
      <c r="B25" s="2">
        <v>45723</v>
      </c>
      <c r="C25" t="str">
        <f>VLOOKUP(D25, Member_Master!A:B, 2, FALSE)</f>
        <v>M156</v>
      </c>
      <c r="D25" t="s">
        <v>163</v>
      </c>
      <c r="E25">
        <v>1000</v>
      </c>
      <c r="F25" t="str">
        <f t="shared" si="0"/>
        <v>Monthly</v>
      </c>
      <c r="G25" t="s">
        <v>9</v>
      </c>
      <c r="H25" t="s">
        <v>7</v>
      </c>
      <c r="I25" s="2">
        <v>45717</v>
      </c>
      <c r="J25" s="2">
        <f t="shared" si="1"/>
        <v>45753</v>
      </c>
      <c r="K25" t="str">
        <f t="shared" si="2"/>
        <v>Churn Risk</v>
      </c>
    </row>
    <row r="26" spans="1:11" x14ac:dyDescent="0.3">
      <c r="A26">
        <v>366</v>
      </c>
      <c r="B26" s="2">
        <v>45723</v>
      </c>
      <c r="C26" t="str">
        <f>VLOOKUP(D26, Member_Master!A:B, 2, FALSE)</f>
        <v>M197</v>
      </c>
      <c r="D26" t="s">
        <v>204</v>
      </c>
      <c r="E26">
        <v>1000</v>
      </c>
      <c r="F26" t="str">
        <f t="shared" si="0"/>
        <v>Monthly</v>
      </c>
      <c r="G26" t="s">
        <v>6</v>
      </c>
      <c r="H26" t="s">
        <v>7</v>
      </c>
      <c r="I26" s="2">
        <v>45717</v>
      </c>
      <c r="J26" s="2">
        <f t="shared" si="1"/>
        <v>45753</v>
      </c>
      <c r="K26" t="str">
        <f t="shared" si="2"/>
        <v>Churn Risk</v>
      </c>
    </row>
    <row r="27" spans="1:11" x14ac:dyDescent="0.3">
      <c r="A27">
        <v>151</v>
      </c>
      <c r="B27" s="2">
        <v>45725</v>
      </c>
      <c r="C27" t="str">
        <f>VLOOKUP(D27, Member_Master!A:B, 2, FALSE)</f>
        <v>M072</v>
      </c>
      <c r="D27" t="s">
        <v>79</v>
      </c>
      <c r="E27">
        <v>1000</v>
      </c>
      <c r="F27" t="str">
        <f t="shared" si="0"/>
        <v>Monthly</v>
      </c>
      <c r="G27" t="s">
        <v>9</v>
      </c>
      <c r="H27" t="s">
        <v>7</v>
      </c>
      <c r="I27" s="2">
        <v>45717</v>
      </c>
      <c r="J27" s="2">
        <f t="shared" si="1"/>
        <v>45755</v>
      </c>
      <c r="K27" t="str">
        <f t="shared" si="2"/>
        <v>Churn Risk</v>
      </c>
    </row>
    <row r="28" spans="1:11" x14ac:dyDescent="0.3">
      <c r="A28">
        <v>45</v>
      </c>
      <c r="B28" s="2">
        <v>45726</v>
      </c>
      <c r="C28" t="str">
        <f>VLOOKUP(D28, Member_Master!A:B, 2, FALSE)</f>
        <v>M024</v>
      </c>
      <c r="D28" t="s">
        <v>31</v>
      </c>
      <c r="E28">
        <v>1000</v>
      </c>
      <c r="F28" t="str">
        <f t="shared" si="0"/>
        <v>Monthly</v>
      </c>
      <c r="G28" t="s">
        <v>9</v>
      </c>
      <c r="H28" t="s">
        <v>7</v>
      </c>
      <c r="I28" s="2">
        <v>45717</v>
      </c>
      <c r="J28" s="2">
        <f t="shared" si="1"/>
        <v>45756</v>
      </c>
      <c r="K28" t="str">
        <f t="shared" si="2"/>
        <v>Churn Risk</v>
      </c>
    </row>
    <row r="29" spans="1:11" x14ac:dyDescent="0.3">
      <c r="A29">
        <v>53</v>
      </c>
      <c r="B29" s="2">
        <v>45726</v>
      </c>
      <c r="C29" t="str">
        <f>VLOOKUP(D29, Member_Master!A:B, 2, FALSE)</f>
        <v>M028</v>
      </c>
      <c r="D29" t="s">
        <v>35</v>
      </c>
      <c r="E29">
        <v>1000</v>
      </c>
      <c r="F29" t="str">
        <f t="shared" si="0"/>
        <v>Monthly</v>
      </c>
      <c r="G29" t="s">
        <v>9</v>
      </c>
      <c r="H29" t="s">
        <v>7</v>
      </c>
      <c r="I29" s="2">
        <v>45717</v>
      </c>
      <c r="J29" s="2">
        <f t="shared" si="1"/>
        <v>45756</v>
      </c>
      <c r="K29" t="str">
        <f t="shared" si="2"/>
        <v>Churn Risk</v>
      </c>
    </row>
    <row r="30" spans="1:11" x14ac:dyDescent="0.3">
      <c r="A30">
        <v>60</v>
      </c>
      <c r="B30" s="2">
        <v>45726</v>
      </c>
      <c r="C30" t="str">
        <f>VLOOKUP(D30, Member_Master!A:B, 2, FALSE)</f>
        <v>M030</v>
      </c>
      <c r="D30" t="s">
        <v>37</v>
      </c>
      <c r="E30">
        <v>1000</v>
      </c>
      <c r="F30" t="str">
        <f t="shared" si="0"/>
        <v>Monthly</v>
      </c>
      <c r="G30" t="s">
        <v>6</v>
      </c>
      <c r="H30" t="s">
        <v>7</v>
      </c>
      <c r="I30" s="2">
        <v>45717</v>
      </c>
      <c r="J30" s="2">
        <f t="shared" si="1"/>
        <v>45756</v>
      </c>
      <c r="K30" t="str">
        <f t="shared" si="2"/>
        <v>Churn Risk</v>
      </c>
    </row>
    <row r="31" spans="1:11" x14ac:dyDescent="0.3">
      <c r="A31">
        <v>80</v>
      </c>
      <c r="B31" s="2">
        <v>45726</v>
      </c>
      <c r="C31" t="str">
        <f>VLOOKUP(D31, Member_Master!A:B, 2, FALSE)</f>
        <v>M038</v>
      </c>
      <c r="D31" t="s">
        <v>45</v>
      </c>
      <c r="E31">
        <v>1000</v>
      </c>
      <c r="F31" t="str">
        <f t="shared" si="0"/>
        <v>Monthly</v>
      </c>
      <c r="G31" t="s">
        <v>6</v>
      </c>
      <c r="H31" t="s">
        <v>7</v>
      </c>
      <c r="I31" s="2">
        <v>45717</v>
      </c>
      <c r="J31" s="2">
        <f t="shared" si="1"/>
        <v>45756</v>
      </c>
      <c r="K31" t="str">
        <f t="shared" si="2"/>
        <v>Churn Risk</v>
      </c>
    </row>
    <row r="32" spans="1:11" x14ac:dyDescent="0.3">
      <c r="A32">
        <v>108</v>
      </c>
      <c r="B32" s="2">
        <v>45726</v>
      </c>
      <c r="C32" t="str">
        <f>VLOOKUP(D32, Member_Master!A:B, 2, FALSE)</f>
        <v>M054</v>
      </c>
      <c r="D32" t="s">
        <v>61</v>
      </c>
      <c r="E32">
        <v>1000</v>
      </c>
      <c r="F32" t="str">
        <f t="shared" si="0"/>
        <v>Monthly</v>
      </c>
      <c r="G32" t="s">
        <v>6</v>
      </c>
      <c r="H32" t="s">
        <v>7</v>
      </c>
      <c r="I32" s="2">
        <v>45717</v>
      </c>
      <c r="J32" s="2">
        <f t="shared" si="1"/>
        <v>45756</v>
      </c>
      <c r="K32" t="str">
        <f t="shared" si="2"/>
        <v>Churn Risk</v>
      </c>
    </row>
    <row r="33" spans="1:11" x14ac:dyDescent="0.3">
      <c r="A33">
        <v>256</v>
      </c>
      <c r="B33" s="2">
        <v>45726</v>
      </c>
      <c r="C33" t="str">
        <f>VLOOKUP(D33, Member_Master!A:B, 2, FALSE)</f>
        <v>M125</v>
      </c>
      <c r="D33" t="s">
        <v>132</v>
      </c>
      <c r="E33">
        <v>1000</v>
      </c>
      <c r="F33" t="str">
        <f t="shared" si="0"/>
        <v>Monthly</v>
      </c>
      <c r="G33" t="s">
        <v>9</v>
      </c>
      <c r="H33" t="s">
        <v>7</v>
      </c>
      <c r="I33" s="2">
        <v>45717</v>
      </c>
      <c r="J33" s="2">
        <f t="shared" si="1"/>
        <v>45756</v>
      </c>
      <c r="K33" t="str">
        <f t="shared" si="2"/>
        <v>Churn Risk</v>
      </c>
    </row>
    <row r="34" spans="1:11" x14ac:dyDescent="0.3">
      <c r="A34">
        <v>260</v>
      </c>
      <c r="B34" s="2">
        <v>45726</v>
      </c>
      <c r="C34" t="str">
        <f>VLOOKUP(D34, Member_Master!A:B, 2, FALSE)</f>
        <v>M127</v>
      </c>
      <c r="D34" t="s">
        <v>134</v>
      </c>
      <c r="E34">
        <v>1000</v>
      </c>
      <c r="F34" t="str">
        <f t="shared" si="0"/>
        <v>Monthly</v>
      </c>
      <c r="G34" t="s">
        <v>9</v>
      </c>
      <c r="H34" t="s">
        <v>7</v>
      </c>
      <c r="I34" s="2">
        <v>45717</v>
      </c>
      <c r="J34" s="2">
        <f t="shared" si="1"/>
        <v>45756</v>
      </c>
      <c r="K34" t="str">
        <f t="shared" si="2"/>
        <v>Churn Risk</v>
      </c>
    </row>
    <row r="35" spans="1:11" x14ac:dyDescent="0.3">
      <c r="A35">
        <v>265</v>
      </c>
      <c r="B35" s="2">
        <v>45726</v>
      </c>
      <c r="C35" t="str">
        <f>VLOOKUP(D35, Member_Master!A:B, 2, FALSE)</f>
        <v>M129</v>
      </c>
      <c r="D35" t="s">
        <v>136</v>
      </c>
      <c r="E35">
        <v>1000</v>
      </c>
      <c r="F35" t="str">
        <f t="shared" si="0"/>
        <v>Monthly</v>
      </c>
      <c r="G35" t="s">
        <v>9</v>
      </c>
      <c r="H35" t="s">
        <v>7</v>
      </c>
      <c r="I35" s="2">
        <v>45717</v>
      </c>
      <c r="J35" s="2">
        <f t="shared" si="1"/>
        <v>45756</v>
      </c>
      <c r="K35" t="str">
        <f t="shared" si="2"/>
        <v>Churn Risk</v>
      </c>
    </row>
    <row r="36" spans="1:11" x14ac:dyDescent="0.3">
      <c r="A36">
        <v>359</v>
      </c>
      <c r="B36" s="2">
        <v>45726</v>
      </c>
      <c r="C36" t="str">
        <f>VLOOKUP(D36, Member_Master!A:B, 2, FALSE)</f>
        <v>M191</v>
      </c>
      <c r="D36" t="s">
        <v>198</v>
      </c>
      <c r="E36">
        <v>1000</v>
      </c>
      <c r="F36" t="str">
        <f t="shared" si="0"/>
        <v>Monthly</v>
      </c>
      <c r="G36" t="s">
        <v>9</v>
      </c>
      <c r="H36" t="s">
        <v>7</v>
      </c>
      <c r="I36" s="2">
        <v>45717</v>
      </c>
      <c r="J36" s="2">
        <f t="shared" si="1"/>
        <v>45756</v>
      </c>
      <c r="K36" t="str">
        <f t="shared" si="2"/>
        <v>Churn Risk</v>
      </c>
    </row>
    <row r="37" spans="1:11" x14ac:dyDescent="0.3">
      <c r="A37">
        <v>26</v>
      </c>
      <c r="B37" s="2">
        <v>45727</v>
      </c>
      <c r="C37" t="str">
        <f>VLOOKUP(D37, Member_Master!A:B, 2, FALSE)</f>
        <v>M014</v>
      </c>
      <c r="D37" t="s">
        <v>21</v>
      </c>
      <c r="E37">
        <v>1000</v>
      </c>
      <c r="F37" t="str">
        <f t="shared" si="0"/>
        <v>Monthly</v>
      </c>
      <c r="G37" t="s">
        <v>6</v>
      </c>
      <c r="H37" t="s">
        <v>7</v>
      </c>
      <c r="I37" s="2">
        <v>45717</v>
      </c>
      <c r="J37" s="2">
        <f t="shared" si="1"/>
        <v>45757</v>
      </c>
      <c r="K37" t="str">
        <f t="shared" si="2"/>
        <v>Churn Risk</v>
      </c>
    </row>
    <row r="38" spans="1:11" x14ac:dyDescent="0.3">
      <c r="A38">
        <v>129</v>
      </c>
      <c r="B38" s="2">
        <v>45727</v>
      </c>
      <c r="C38" t="str">
        <f>VLOOKUP(D38, Member_Master!A:B, 2, FALSE)</f>
        <v>M067</v>
      </c>
      <c r="D38" t="s">
        <v>74</v>
      </c>
      <c r="E38">
        <v>1000</v>
      </c>
      <c r="F38" t="str">
        <f t="shared" si="0"/>
        <v>Monthly</v>
      </c>
      <c r="G38" t="s">
        <v>9</v>
      </c>
      <c r="H38" t="s">
        <v>7</v>
      </c>
      <c r="I38" s="2">
        <v>45717</v>
      </c>
      <c r="J38" s="2">
        <f t="shared" si="1"/>
        <v>45757</v>
      </c>
      <c r="K38" t="str">
        <f t="shared" si="2"/>
        <v>Churn Risk</v>
      </c>
    </row>
    <row r="39" spans="1:11" x14ac:dyDescent="0.3">
      <c r="A39">
        <v>293</v>
      </c>
      <c r="B39" s="2">
        <v>45727</v>
      </c>
      <c r="C39" t="str">
        <f>VLOOKUP(D39, Member_Master!A:B, 2, FALSE)</f>
        <v>M148</v>
      </c>
      <c r="D39" t="s">
        <v>155</v>
      </c>
      <c r="E39">
        <v>1000</v>
      </c>
      <c r="F39" t="str">
        <f t="shared" si="0"/>
        <v>Monthly</v>
      </c>
      <c r="G39" t="s">
        <v>9</v>
      </c>
      <c r="H39" t="s">
        <v>7</v>
      </c>
      <c r="I39" s="2">
        <v>45717</v>
      </c>
      <c r="J39" s="2">
        <f t="shared" si="1"/>
        <v>45757</v>
      </c>
      <c r="K39" t="str">
        <f t="shared" si="2"/>
        <v>Churn Risk</v>
      </c>
    </row>
    <row r="40" spans="1:11" x14ac:dyDescent="0.3">
      <c r="A40">
        <v>270</v>
      </c>
      <c r="B40" s="2">
        <v>45728</v>
      </c>
      <c r="C40" t="str">
        <f>VLOOKUP(D40, Member_Master!A:B, 2, FALSE)</f>
        <v>M132</v>
      </c>
      <c r="D40" t="s">
        <v>139</v>
      </c>
      <c r="E40">
        <v>1000</v>
      </c>
      <c r="F40" t="str">
        <f t="shared" si="0"/>
        <v>Monthly</v>
      </c>
      <c r="G40" t="s">
        <v>6</v>
      </c>
      <c r="H40" t="s">
        <v>7</v>
      </c>
      <c r="I40" s="2">
        <v>45717</v>
      </c>
      <c r="J40" s="2">
        <f t="shared" si="1"/>
        <v>45758</v>
      </c>
      <c r="K40" t="str">
        <f t="shared" si="2"/>
        <v>Churn Risk</v>
      </c>
    </row>
    <row r="41" spans="1:11" x14ac:dyDescent="0.3">
      <c r="A41">
        <v>33</v>
      </c>
      <c r="B41" s="2">
        <v>45729</v>
      </c>
      <c r="C41" t="str">
        <f>VLOOKUP(D41, Member_Master!A:B, 2, FALSE)</f>
        <v>M016</v>
      </c>
      <c r="D41" t="s">
        <v>23</v>
      </c>
      <c r="E41">
        <v>1000</v>
      </c>
      <c r="F41" t="str">
        <f t="shared" si="0"/>
        <v>Monthly</v>
      </c>
      <c r="G41" t="s">
        <v>6</v>
      </c>
      <c r="H41" t="s">
        <v>7</v>
      </c>
      <c r="I41" s="2">
        <v>45717</v>
      </c>
      <c r="J41" s="2">
        <f t="shared" si="1"/>
        <v>45759</v>
      </c>
      <c r="K41" t="str">
        <f t="shared" si="2"/>
        <v>Churn Risk</v>
      </c>
    </row>
    <row r="42" spans="1:11" x14ac:dyDescent="0.3">
      <c r="A42">
        <v>254</v>
      </c>
      <c r="B42" s="2">
        <v>45729</v>
      </c>
      <c r="C42" t="str">
        <f>VLOOKUP(D42, Member_Master!A:B, 2, FALSE)</f>
        <v>M124</v>
      </c>
      <c r="D42" t="s">
        <v>131</v>
      </c>
      <c r="E42">
        <v>4000</v>
      </c>
      <c r="F42" t="str">
        <f t="shared" si="0"/>
        <v>3 Months</v>
      </c>
      <c r="G42" t="s">
        <v>9</v>
      </c>
      <c r="H42" t="s">
        <v>7</v>
      </c>
      <c r="I42" s="2">
        <v>45717</v>
      </c>
      <c r="J42" s="2">
        <f t="shared" si="1"/>
        <v>45819</v>
      </c>
      <c r="K42" t="str">
        <f t="shared" si="2"/>
        <v>Churn Risk</v>
      </c>
    </row>
    <row r="43" spans="1:11" x14ac:dyDescent="0.3">
      <c r="A43">
        <v>282</v>
      </c>
      <c r="B43" s="2">
        <v>45729</v>
      </c>
      <c r="C43" t="str">
        <f>VLOOKUP(D43, Member_Master!A:B, 2, FALSE)</f>
        <v>M140</v>
      </c>
      <c r="D43" t="s">
        <v>147</v>
      </c>
      <c r="E43">
        <v>4000</v>
      </c>
      <c r="F43" t="str">
        <f t="shared" si="0"/>
        <v>3 Months</v>
      </c>
      <c r="G43" t="s">
        <v>9</v>
      </c>
      <c r="H43" t="s">
        <v>7</v>
      </c>
      <c r="I43" s="2">
        <v>45717</v>
      </c>
      <c r="J43" s="2">
        <f t="shared" si="1"/>
        <v>45819</v>
      </c>
      <c r="K43" t="str">
        <f t="shared" si="2"/>
        <v>Churn Risk</v>
      </c>
    </row>
    <row r="44" spans="1:11" x14ac:dyDescent="0.3">
      <c r="A44">
        <v>324</v>
      </c>
      <c r="B44" s="2">
        <v>45730</v>
      </c>
      <c r="C44" t="str">
        <f>VLOOKUP(D44, Member_Master!A:B, 2, FALSE)</f>
        <v>M172</v>
      </c>
      <c r="D44" t="s">
        <v>179</v>
      </c>
      <c r="E44">
        <v>1000</v>
      </c>
      <c r="F44" t="str">
        <f t="shared" si="0"/>
        <v>Monthly</v>
      </c>
      <c r="G44" t="s">
        <v>6</v>
      </c>
      <c r="H44" t="s">
        <v>7</v>
      </c>
      <c r="I44" s="2">
        <v>45717</v>
      </c>
      <c r="J44" s="2">
        <f t="shared" si="1"/>
        <v>45760</v>
      </c>
      <c r="K44" t="str">
        <f t="shared" si="2"/>
        <v>Churn Risk</v>
      </c>
    </row>
    <row r="45" spans="1:11" x14ac:dyDescent="0.3">
      <c r="A45">
        <v>180</v>
      </c>
      <c r="B45" s="2">
        <v>45732</v>
      </c>
      <c r="C45" t="str">
        <f>VLOOKUP(D45, Member_Master!A:B, 2, FALSE)</f>
        <v>M083</v>
      </c>
      <c r="D45" t="s">
        <v>90</v>
      </c>
      <c r="E45">
        <v>800</v>
      </c>
      <c r="F45" t="str">
        <f t="shared" si="0"/>
        <v>Monthly</v>
      </c>
      <c r="G45" t="s">
        <v>9</v>
      </c>
      <c r="H45" t="s">
        <v>7</v>
      </c>
      <c r="I45" s="2">
        <v>45717</v>
      </c>
      <c r="J45" s="2">
        <f t="shared" si="1"/>
        <v>45762</v>
      </c>
      <c r="K45" t="str">
        <f t="shared" si="2"/>
        <v>Churn Risk</v>
      </c>
    </row>
    <row r="46" spans="1:11" x14ac:dyDescent="0.3">
      <c r="A46">
        <v>320</v>
      </c>
      <c r="B46" s="2">
        <v>45733</v>
      </c>
      <c r="C46" t="str">
        <f>VLOOKUP(D46, Member_Master!A:B, 2, FALSE)</f>
        <v>M169</v>
      </c>
      <c r="D46" t="s">
        <v>176</v>
      </c>
      <c r="E46">
        <v>1000</v>
      </c>
      <c r="F46" t="str">
        <f t="shared" si="0"/>
        <v>Monthly</v>
      </c>
      <c r="G46" t="s">
        <v>9</v>
      </c>
      <c r="H46" t="s">
        <v>7</v>
      </c>
      <c r="I46" s="2">
        <v>45717</v>
      </c>
      <c r="J46" s="2">
        <f t="shared" si="1"/>
        <v>45763</v>
      </c>
      <c r="K46" t="str">
        <f t="shared" si="2"/>
        <v>Churn Risk</v>
      </c>
    </row>
    <row r="47" spans="1:11" x14ac:dyDescent="0.3">
      <c r="A47">
        <v>22</v>
      </c>
      <c r="B47" s="2">
        <v>45734</v>
      </c>
      <c r="C47" t="str">
        <f>VLOOKUP(D47, Member_Master!A:B, 2, FALSE)</f>
        <v>M011</v>
      </c>
      <c r="D47" t="s">
        <v>18</v>
      </c>
      <c r="E47">
        <v>1000</v>
      </c>
      <c r="F47" t="str">
        <f t="shared" si="0"/>
        <v>Monthly</v>
      </c>
      <c r="G47" t="s">
        <v>9</v>
      </c>
      <c r="H47" t="s">
        <v>7</v>
      </c>
      <c r="I47" s="2">
        <v>45717</v>
      </c>
      <c r="J47" s="2">
        <f t="shared" si="1"/>
        <v>45764</v>
      </c>
      <c r="K47" t="str">
        <f t="shared" si="2"/>
        <v>Churn Risk</v>
      </c>
    </row>
    <row r="48" spans="1:11" x14ac:dyDescent="0.3">
      <c r="A48">
        <v>44</v>
      </c>
      <c r="B48" s="2">
        <v>45734</v>
      </c>
      <c r="C48" t="str">
        <f>VLOOKUP(D48, Member_Master!A:B, 2, FALSE)</f>
        <v>M023</v>
      </c>
      <c r="D48" t="s">
        <v>30</v>
      </c>
      <c r="E48">
        <v>1000</v>
      </c>
      <c r="F48" t="str">
        <f t="shared" si="0"/>
        <v>Monthly</v>
      </c>
      <c r="G48" t="s">
        <v>9</v>
      </c>
      <c r="H48" t="s">
        <v>7</v>
      </c>
      <c r="I48" s="2">
        <v>45717</v>
      </c>
      <c r="J48" s="2">
        <f t="shared" si="1"/>
        <v>45764</v>
      </c>
      <c r="K48" t="str">
        <f t="shared" si="2"/>
        <v>Churn Risk</v>
      </c>
    </row>
    <row r="49" spans="1:11" x14ac:dyDescent="0.3">
      <c r="A49">
        <v>207</v>
      </c>
      <c r="B49" s="2">
        <v>45734</v>
      </c>
      <c r="C49" t="str">
        <f>VLOOKUP(D49, Member_Master!A:B, 2, FALSE)</f>
        <v>M100</v>
      </c>
      <c r="D49" t="s">
        <v>107</v>
      </c>
      <c r="E49">
        <v>1000</v>
      </c>
      <c r="F49" t="str">
        <f t="shared" si="0"/>
        <v>Monthly</v>
      </c>
      <c r="G49" t="s">
        <v>6</v>
      </c>
      <c r="H49" t="s">
        <v>7</v>
      </c>
      <c r="I49" s="2">
        <v>45717</v>
      </c>
      <c r="J49" s="2">
        <f t="shared" si="1"/>
        <v>45764</v>
      </c>
      <c r="K49" t="str">
        <f t="shared" si="2"/>
        <v>Churn Risk</v>
      </c>
    </row>
    <row r="50" spans="1:11" x14ac:dyDescent="0.3">
      <c r="A50">
        <v>257</v>
      </c>
      <c r="B50" s="2">
        <v>45735</v>
      </c>
      <c r="C50" t="str">
        <f>VLOOKUP(D50, Member_Master!A:B, 2, FALSE)</f>
        <v>M126</v>
      </c>
      <c r="D50" t="s">
        <v>133</v>
      </c>
      <c r="E50">
        <v>1000</v>
      </c>
      <c r="F50" t="str">
        <f t="shared" si="0"/>
        <v>Monthly</v>
      </c>
      <c r="G50" t="s">
        <v>9</v>
      </c>
      <c r="H50" t="s">
        <v>7</v>
      </c>
      <c r="I50" s="2">
        <v>45717</v>
      </c>
      <c r="J50" s="2">
        <f t="shared" si="1"/>
        <v>45765</v>
      </c>
      <c r="K50" t="str">
        <f t="shared" si="2"/>
        <v>Churn Risk</v>
      </c>
    </row>
    <row r="51" spans="1:11" x14ac:dyDescent="0.3">
      <c r="A51">
        <v>118</v>
      </c>
      <c r="B51" s="2">
        <v>45736</v>
      </c>
      <c r="C51" t="str">
        <f>VLOOKUP(D51, Member_Master!A:B, 2, FALSE)</f>
        <v>M061</v>
      </c>
      <c r="D51" t="s">
        <v>68</v>
      </c>
      <c r="E51">
        <v>1000</v>
      </c>
      <c r="F51" t="str">
        <f t="shared" si="0"/>
        <v>Monthly</v>
      </c>
      <c r="G51" t="s">
        <v>9</v>
      </c>
      <c r="H51" t="s">
        <v>7</v>
      </c>
      <c r="I51" s="2">
        <v>45717</v>
      </c>
      <c r="J51" s="2">
        <f t="shared" si="1"/>
        <v>45766</v>
      </c>
      <c r="K51" t="str">
        <f t="shared" si="2"/>
        <v>Churn Risk</v>
      </c>
    </row>
    <row r="52" spans="1:11" x14ac:dyDescent="0.3">
      <c r="A52">
        <v>239</v>
      </c>
      <c r="B52" s="2">
        <v>45737</v>
      </c>
      <c r="C52" t="str">
        <f>VLOOKUP(D52, Member_Master!A:B, 2, FALSE)</f>
        <v>M115</v>
      </c>
      <c r="D52" t="s">
        <v>122</v>
      </c>
      <c r="E52">
        <v>1000</v>
      </c>
      <c r="F52" t="str">
        <f t="shared" si="0"/>
        <v>Monthly</v>
      </c>
      <c r="G52" t="s">
        <v>9</v>
      </c>
      <c r="H52" t="s">
        <v>7</v>
      </c>
      <c r="I52" s="2">
        <v>45717</v>
      </c>
      <c r="J52" s="2">
        <f t="shared" si="1"/>
        <v>45767</v>
      </c>
      <c r="K52" t="str">
        <f t="shared" si="2"/>
        <v>Churn Risk</v>
      </c>
    </row>
    <row r="53" spans="1:11" x14ac:dyDescent="0.3">
      <c r="A53">
        <v>231</v>
      </c>
      <c r="B53" s="2">
        <v>45738</v>
      </c>
      <c r="C53" t="str">
        <f>VLOOKUP(D53, Member_Master!A:B, 2, FALSE)</f>
        <v>M111</v>
      </c>
      <c r="D53" t="s">
        <v>118</v>
      </c>
      <c r="E53">
        <v>800</v>
      </c>
      <c r="F53" t="str">
        <f t="shared" si="0"/>
        <v>Monthly</v>
      </c>
      <c r="G53" t="s">
        <v>6</v>
      </c>
      <c r="H53" t="s">
        <v>7</v>
      </c>
      <c r="I53" s="2">
        <v>45717</v>
      </c>
      <c r="J53" s="2">
        <f t="shared" si="1"/>
        <v>45768</v>
      </c>
      <c r="K53" t="str">
        <f t="shared" si="2"/>
        <v>Churn Risk</v>
      </c>
    </row>
    <row r="54" spans="1:11" x14ac:dyDescent="0.3">
      <c r="A54">
        <v>277</v>
      </c>
      <c r="B54" s="2">
        <v>45740</v>
      </c>
      <c r="C54" t="str">
        <f>VLOOKUP(D54, Member_Master!A:B, 2, FALSE)</f>
        <v>M137</v>
      </c>
      <c r="D54" t="s">
        <v>144</v>
      </c>
      <c r="E54">
        <v>800</v>
      </c>
      <c r="F54" t="str">
        <f t="shared" si="0"/>
        <v>Monthly</v>
      </c>
      <c r="G54" t="s">
        <v>6</v>
      </c>
      <c r="H54" t="s">
        <v>7</v>
      </c>
      <c r="I54" s="2">
        <v>45717</v>
      </c>
      <c r="J54" s="2">
        <f t="shared" si="1"/>
        <v>45770</v>
      </c>
      <c r="K54" t="str">
        <f t="shared" si="2"/>
        <v>Churn Risk</v>
      </c>
    </row>
    <row r="55" spans="1:11" x14ac:dyDescent="0.3">
      <c r="A55">
        <v>355</v>
      </c>
      <c r="B55" s="2">
        <v>45740</v>
      </c>
      <c r="C55" t="str">
        <f>VLOOKUP(D55, Member_Master!A:B, 2, FALSE)</f>
        <v>M189</v>
      </c>
      <c r="D55" t="s">
        <v>196</v>
      </c>
      <c r="E55">
        <v>2400</v>
      </c>
      <c r="F55" t="str">
        <f t="shared" si="0"/>
        <v>3 Months</v>
      </c>
      <c r="G55" t="s">
        <v>9</v>
      </c>
      <c r="H55" t="s">
        <v>7</v>
      </c>
      <c r="I55" s="2">
        <v>45717</v>
      </c>
      <c r="J55" s="2">
        <f t="shared" si="1"/>
        <v>45830</v>
      </c>
      <c r="K55" t="str">
        <f t="shared" si="2"/>
        <v>Churn Risk</v>
      </c>
    </row>
    <row r="56" spans="1:11" x14ac:dyDescent="0.3">
      <c r="A56">
        <v>220</v>
      </c>
      <c r="B56" s="2">
        <v>45741</v>
      </c>
      <c r="C56" t="str">
        <f>VLOOKUP(D56, Member_Master!A:B, 2, FALSE)</f>
        <v>M107</v>
      </c>
      <c r="D56" t="s">
        <v>114</v>
      </c>
      <c r="E56">
        <v>4000</v>
      </c>
      <c r="F56" t="str">
        <f t="shared" si="0"/>
        <v>3 Months</v>
      </c>
      <c r="G56" t="s">
        <v>9</v>
      </c>
      <c r="H56" t="s">
        <v>7</v>
      </c>
      <c r="I56" s="2">
        <v>45717</v>
      </c>
      <c r="J56" s="2">
        <f t="shared" si="1"/>
        <v>45831</v>
      </c>
      <c r="K56" t="str">
        <f t="shared" si="2"/>
        <v>Churn Risk</v>
      </c>
    </row>
    <row r="57" spans="1:11" x14ac:dyDescent="0.3">
      <c r="A57">
        <v>353</v>
      </c>
      <c r="B57" s="2">
        <v>45741</v>
      </c>
      <c r="C57" t="str">
        <f>VLOOKUP(D57, Member_Master!A:B, 2, FALSE)</f>
        <v>M187</v>
      </c>
      <c r="D57" t="s">
        <v>194</v>
      </c>
      <c r="E57">
        <v>1000</v>
      </c>
      <c r="F57" t="str">
        <f t="shared" si="0"/>
        <v>Monthly</v>
      </c>
      <c r="G57" t="s">
        <v>9</v>
      </c>
      <c r="H57" t="s">
        <v>7</v>
      </c>
      <c r="I57" s="2">
        <v>45717</v>
      </c>
      <c r="J57" s="2">
        <f t="shared" si="1"/>
        <v>45771</v>
      </c>
      <c r="K57" t="str">
        <f t="shared" si="2"/>
        <v>Churn Risk</v>
      </c>
    </row>
    <row r="58" spans="1:11" x14ac:dyDescent="0.3">
      <c r="A58">
        <v>189</v>
      </c>
      <c r="B58" s="2">
        <v>45744</v>
      </c>
      <c r="C58" t="str">
        <f>VLOOKUP(D58, Member_Master!A:B, 2, FALSE)</f>
        <v>M086</v>
      </c>
      <c r="D58" t="s">
        <v>93</v>
      </c>
      <c r="E58">
        <v>1000</v>
      </c>
      <c r="F58" t="str">
        <f t="shared" si="0"/>
        <v>Monthly</v>
      </c>
      <c r="G58" t="s">
        <v>9</v>
      </c>
      <c r="H58" t="s">
        <v>7</v>
      </c>
      <c r="I58" s="2">
        <v>45717</v>
      </c>
      <c r="J58" s="2">
        <f t="shared" si="1"/>
        <v>45774</v>
      </c>
      <c r="K58" t="str">
        <f t="shared" si="2"/>
        <v>Churn Risk</v>
      </c>
    </row>
    <row r="59" spans="1:11" x14ac:dyDescent="0.3">
      <c r="A59">
        <v>299</v>
      </c>
      <c r="B59" s="2">
        <v>45745</v>
      </c>
      <c r="C59" t="str">
        <f>VLOOKUP(D59, Member_Master!A:B, 2, FALSE)</f>
        <v>M152</v>
      </c>
      <c r="D59" t="s">
        <v>159</v>
      </c>
      <c r="E59">
        <v>1000</v>
      </c>
      <c r="F59" t="str">
        <f t="shared" si="0"/>
        <v>Monthly</v>
      </c>
      <c r="G59" t="s">
        <v>6</v>
      </c>
      <c r="H59" t="s">
        <v>7</v>
      </c>
      <c r="I59" s="2">
        <v>45717</v>
      </c>
      <c r="J59" s="2">
        <f t="shared" si="1"/>
        <v>45775</v>
      </c>
      <c r="K59" t="str">
        <f t="shared" si="2"/>
        <v>Churn Risk</v>
      </c>
    </row>
    <row r="60" spans="1:11" x14ac:dyDescent="0.3">
      <c r="A60">
        <v>40</v>
      </c>
      <c r="B60" s="2">
        <v>45748</v>
      </c>
      <c r="C60" t="str">
        <f>VLOOKUP(D60, Member_Master!A:B, 2, FALSE)</f>
        <v>M020</v>
      </c>
      <c r="D60" t="s">
        <v>27</v>
      </c>
      <c r="E60">
        <v>700</v>
      </c>
      <c r="F60" t="str">
        <f t="shared" si="0"/>
        <v>Monthly</v>
      </c>
      <c r="G60" t="s">
        <v>9</v>
      </c>
      <c r="H60" t="s">
        <v>7</v>
      </c>
      <c r="I60" s="2">
        <v>45748</v>
      </c>
      <c r="J60" s="2">
        <f t="shared" si="1"/>
        <v>45778</v>
      </c>
      <c r="K60" t="str">
        <f t="shared" si="2"/>
        <v>Churn Risk</v>
      </c>
    </row>
    <row r="61" spans="1:11" x14ac:dyDescent="0.3">
      <c r="A61">
        <v>55</v>
      </c>
      <c r="B61" s="2">
        <v>45748</v>
      </c>
      <c r="C61" t="str">
        <f>VLOOKUP(D61, Member_Master!A:B, 2, FALSE)</f>
        <v>M029</v>
      </c>
      <c r="D61" t="s">
        <v>36</v>
      </c>
      <c r="E61">
        <v>4000</v>
      </c>
      <c r="F61" t="str">
        <f t="shared" si="0"/>
        <v>3 Months</v>
      </c>
      <c r="G61" t="s">
        <v>6</v>
      </c>
      <c r="H61" t="s">
        <v>7</v>
      </c>
      <c r="I61" s="2">
        <v>45748</v>
      </c>
      <c r="J61" s="2">
        <f t="shared" si="1"/>
        <v>45838</v>
      </c>
      <c r="K61" t="str">
        <f t="shared" si="2"/>
        <v>Churn Risk</v>
      </c>
    </row>
    <row r="62" spans="1:11" x14ac:dyDescent="0.3">
      <c r="A62">
        <v>95</v>
      </c>
      <c r="B62" s="2">
        <v>45748</v>
      </c>
      <c r="C62" t="str">
        <f>VLOOKUP(D62, Member_Master!A:B, 2, FALSE)</f>
        <v>M047</v>
      </c>
      <c r="D62" t="s">
        <v>54</v>
      </c>
      <c r="E62">
        <v>4000</v>
      </c>
      <c r="F62" t="str">
        <f t="shared" si="0"/>
        <v>3 Months</v>
      </c>
      <c r="G62" t="s">
        <v>6</v>
      </c>
      <c r="H62" t="s">
        <v>7</v>
      </c>
      <c r="I62" s="2">
        <v>45748</v>
      </c>
      <c r="J62" s="2">
        <f t="shared" si="1"/>
        <v>45838</v>
      </c>
      <c r="K62" t="str">
        <f t="shared" si="2"/>
        <v>Churn Risk</v>
      </c>
    </row>
    <row r="63" spans="1:11" x14ac:dyDescent="0.3">
      <c r="A63">
        <v>245</v>
      </c>
      <c r="B63" s="2">
        <v>45748</v>
      </c>
      <c r="C63" t="str">
        <f>VLOOKUP(D63, Member_Master!A:B, 2, FALSE)</f>
        <v>M117</v>
      </c>
      <c r="D63" t="s">
        <v>124</v>
      </c>
      <c r="E63">
        <v>1000</v>
      </c>
      <c r="F63" t="str">
        <f t="shared" si="0"/>
        <v>Monthly</v>
      </c>
      <c r="G63" t="s">
        <v>6</v>
      </c>
      <c r="H63" t="s">
        <v>7</v>
      </c>
      <c r="I63" s="2">
        <v>45748</v>
      </c>
      <c r="J63" s="2">
        <f t="shared" si="1"/>
        <v>45778</v>
      </c>
      <c r="K63" t="str">
        <f t="shared" si="2"/>
        <v>Churn Risk</v>
      </c>
    </row>
    <row r="64" spans="1:11" x14ac:dyDescent="0.3">
      <c r="A64">
        <v>351</v>
      </c>
      <c r="B64" s="2">
        <v>45748</v>
      </c>
      <c r="C64" t="str">
        <f>VLOOKUP(D64, Member_Master!A:B, 2, FALSE)</f>
        <v>M187</v>
      </c>
      <c r="D64" t="s">
        <v>194</v>
      </c>
      <c r="E64">
        <v>1400</v>
      </c>
      <c r="F64" t="str">
        <f t="shared" si="0"/>
        <v>Monthly</v>
      </c>
      <c r="G64" t="s">
        <v>6</v>
      </c>
      <c r="H64" t="s">
        <v>7</v>
      </c>
      <c r="I64" s="2">
        <v>45748</v>
      </c>
      <c r="J64" s="2">
        <f t="shared" si="1"/>
        <v>45778</v>
      </c>
      <c r="K64" t="str">
        <f t="shared" si="2"/>
        <v>Churn Risk</v>
      </c>
    </row>
    <row r="65" spans="1:11" x14ac:dyDescent="0.3">
      <c r="A65">
        <v>362</v>
      </c>
      <c r="B65" s="2">
        <v>45748</v>
      </c>
      <c r="C65" t="str">
        <f>VLOOKUP(D65, Member_Master!A:B, 2, FALSE)</f>
        <v>M194</v>
      </c>
      <c r="D65" t="s">
        <v>201</v>
      </c>
      <c r="E65">
        <v>1000</v>
      </c>
      <c r="F65" t="str">
        <f t="shared" si="0"/>
        <v>Monthly</v>
      </c>
      <c r="G65" t="s">
        <v>6</v>
      </c>
      <c r="H65" t="s">
        <v>7</v>
      </c>
      <c r="I65" s="2">
        <v>45748</v>
      </c>
      <c r="J65" s="2">
        <f t="shared" si="1"/>
        <v>45778</v>
      </c>
      <c r="K65" t="str">
        <f t="shared" si="2"/>
        <v>Churn Risk</v>
      </c>
    </row>
    <row r="66" spans="1:11" x14ac:dyDescent="0.3">
      <c r="A66">
        <v>375</v>
      </c>
      <c r="B66" s="2">
        <v>45749</v>
      </c>
      <c r="C66" t="str">
        <f>VLOOKUP(D66, Member_Master!A:B, 2, FALSE)</f>
        <v>M200</v>
      </c>
      <c r="D66" t="s">
        <v>207</v>
      </c>
      <c r="E66">
        <v>1000</v>
      </c>
      <c r="F66" t="str">
        <f t="shared" si="0"/>
        <v>Monthly</v>
      </c>
      <c r="G66" t="s">
        <v>6</v>
      </c>
      <c r="H66" t="s">
        <v>7</v>
      </c>
      <c r="I66" s="2">
        <v>45748</v>
      </c>
      <c r="J66" s="2">
        <f t="shared" si="1"/>
        <v>45779</v>
      </c>
      <c r="K66" t="str">
        <f t="shared" si="2"/>
        <v>Churn Risk</v>
      </c>
    </row>
    <row r="67" spans="1:11" x14ac:dyDescent="0.3">
      <c r="A67">
        <v>8</v>
      </c>
      <c r="B67" s="2">
        <v>45751</v>
      </c>
      <c r="C67" t="str">
        <f>VLOOKUP(D67, Member_Master!A:B, 2, FALSE)</f>
        <v>M006</v>
      </c>
      <c r="D67" t="s">
        <v>13</v>
      </c>
      <c r="E67">
        <v>1500</v>
      </c>
      <c r="F67" t="str">
        <f t="shared" si="0"/>
        <v>Monthly</v>
      </c>
      <c r="G67" t="s">
        <v>6</v>
      </c>
      <c r="H67" t="s">
        <v>7</v>
      </c>
      <c r="I67" s="2">
        <v>45748</v>
      </c>
      <c r="J67" s="2">
        <f t="shared" si="1"/>
        <v>45781</v>
      </c>
      <c r="K67" t="str">
        <f t="shared" si="2"/>
        <v>Churn Risk</v>
      </c>
    </row>
    <row r="68" spans="1:11" x14ac:dyDescent="0.3">
      <c r="A68">
        <v>109</v>
      </c>
      <c r="B68" s="2">
        <v>45751</v>
      </c>
      <c r="C68" t="str">
        <f>VLOOKUP(D68, Member_Master!A:B, 2, FALSE)</f>
        <v>M055</v>
      </c>
      <c r="D68" t="s">
        <v>62</v>
      </c>
      <c r="E68">
        <v>1000</v>
      </c>
      <c r="F68" t="str">
        <f t="shared" ref="F68:F131" si="3">IF(E68&lt;=2200,"Monthly",IF(E68&lt;=4500,"3 Months",
IF(E68&lt;=7000,"6 Months",
"Yearly")))</f>
        <v>Monthly</v>
      </c>
      <c r="G68" t="s">
        <v>9</v>
      </c>
      <c r="H68" t="s">
        <v>7</v>
      </c>
      <c r="I68" s="2">
        <v>45748</v>
      </c>
      <c r="J68" s="2">
        <f t="shared" ref="J68:J131" si="4">IF(F68="Monthly",B68+30,IF(F68="3 Months",B68+90,IF(F68="6 Months",B68+180,IF(F68="Yearly",B68+365,"Check Plan"))))</f>
        <v>45781</v>
      </c>
      <c r="K68" t="str">
        <f t="shared" ref="K68:K131" si="5">IF($N$4&lt;=J68,"Active",IF($N$4-J68&lt;=30,"At Risk","Churn Risk"))</f>
        <v>Churn Risk</v>
      </c>
    </row>
    <row r="69" spans="1:11" x14ac:dyDescent="0.3">
      <c r="A69">
        <v>172</v>
      </c>
      <c r="B69" s="2">
        <v>45751</v>
      </c>
      <c r="C69" t="str">
        <f>VLOOKUP(D69, Member_Master!A:B, 2, FALSE)</f>
        <v>M080</v>
      </c>
      <c r="D69" t="s">
        <v>87</v>
      </c>
      <c r="E69">
        <v>1000</v>
      </c>
      <c r="F69" t="str">
        <f t="shared" si="3"/>
        <v>Monthly</v>
      </c>
      <c r="G69" t="s">
        <v>6</v>
      </c>
      <c r="H69" t="s">
        <v>7</v>
      </c>
      <c r="I69" s="2">
        <v>45748</v>
      </c>
      <c r="J69" s="2">
        <f t="shared" si="4"/>
        <v>45781</v>
      </c>
      <c r="K69" t="str">
        <f t="shared" si="5"/>
        <v>Churn Risk</v>
      </c>
    </row>
    <row r="70" spans="1:11" x14ac:dyDescent="0.3">
      <c r="A70">
        <v>289</v>
      </c>
      <c r="B70" s="2">
        <v>45751</v>
      </c>
      <c r="C70" t="str">
        <f>VLOOKUP(D70, Member_Master!A:B, 2, FALSE)</f>
        <v>M146</v>
      </c>
      <c r="D70" t="s">
        <v>153</v>
      </c>
      <c r="E70">
        <v>5000</v>
      </c>
      <c r="F70" t="str">
        <f t="shared" si="3"/>
        <v>6 Months</v>
      </c>
      <c r="G70" t="s">
        <v>9</v>
      </c>
      <c r="H70" t="s">
        <v>7</v>
      </c>
      <c r="I70" s="2">
        <v>45748</v>
      </c>
      <c r="J70" s="2">
        <f t="shared" si="4"/>
        <v>45931</v>
      </c>
      <c r="K70" t="str">
        <f t="shared" si="5"/>
        <v>Active</v>
      </c>
    </row>
    <row r="71" spans="1:11" x14ac:dyDescent="0.3">
      <c r="A71">
        <v>301</v>
      </c>
      <c r="B71" s="2">
        <v>45751</v>
      </c>
      <c r="C71" t="str">
        <f>VLOOKUP(D71, Member_Master!A:B, 2, FALSE)</f>
        <v>M154</v>
      </c>
      <c r="D71" t="s">
        <v>161</v>
      </c>
      <c r="E71">
        <v>2500</v>
      </c>
      <c r="F71" t="str">
        <f t="shared" si="3"/>
        <v>3 Months</v>
      </c>
      <c r="G71" t="s">
        <v>9</v>
      </c>
      <c r="H71" t="s">
        <v>7</v>
      </c>
      <c r="I71" s="2">
        <v>45748</v>
      </c>
      <c r="J71" s="2">
        <f t="shared" si="4"/>
        <v>45841</v>
      </c>
      <c r="K71" t="str">
        <f t="shared" si="5"/>
        <v>Churn Risk</v>
      </c>
    </row>
    <row r="72" spans="1:11" x14ac:dyDescent="0.3">
      <c r="A72">
        <v>18</v>
      </c>
      <c r="B72" s="2">
        <v>45752</v>
      </c>
      <c r="C72" t="str">
        <f>VLOOKUP(D72, Member_Master!A:B, 2, FALSE)</f>
        <v>M010</v>
      </c>
      <c r="D72" t="s">
        <v>17</v>
      </c>
      <c r="E72">
        <v>1000</v>
      </c>
      <c r="F72" t="str">
        <f t="shared" si="3"/>
        <v>Monthly</v>
      </c>
      <c r="G72" t="s">
        <v>9</v>
      </c>
      <c r="H72" t="s">
        <v>7</v>
      </c>
      <c r="I72" s="2">
        <v>45748</v>
      </c>
      <c r="J72" s="2">
        <f t="shared" si="4"/>
        <v>45782</v>
      </c>
      <c r="K72" t="str">
        <f t="shared" si="5"/>
        <v>Churn Risk</v>
      </c>
    </row>
    <row r="73" spans="1:11" x14ac:dyDescent="0.3">
      <c r="A73">
        <v>63</v>
      </c>
      <c r="B73" s="2">
        <v>45752</v>
      </c>
      <c r="C73" t="str">
        <f>VLOOKUP(D73, Member_Master!A:B, 2, FALSE)</f>
        <v>M031</v>
      </c>
      <c r="D73" t="s">
        <v>38</v>
      </c>
      <c r="E73">
        <v>1000</v>
      </c>
      <c r="F73" t="str">
        <f t="shared" si="3"/>
        <v>Monthly</v>
      </c>
      <c r="G73" t="s">
        <v>9</v>
      </c>
      <c r="H73" t="s">
        <v>7</v>
      </c>
      <c r="I73" s="2">
        <v>45748</v>
      </c>
      <c r="J73" s="2">
        <f t="shared" si="4"/>
        <v>45782</v>
      </c>
      <c r="K73" t="str">
        <f t="shared" si="5"/>
        <v>Churn Risk</v>
      </c>
    </row>
    <row r="74" spans="1:11" x14ac:dyDescent="0.3">
      <c r="A74">
        <v>136</v>
      </c>
      <c r="B74" s="2">
        <v>45752</v>
      </c>
      <c r="C74" t="str">
        <f>VLOOKUP(D74, Member_Master!A:B, 2, FALSE)</f>
        <v>M069</v>
      </c>
      <c r="D74" t="s">
        <v>76</v>
      </c>
      <c r="E74">
        <v>1000</v>
      </c>
      <c r="F74" t="str">
        <f t="shared" si="3"/>
        <v>Monthly</v>
      </c>
      <c r="G74" t="s">
        <v>6</v>
      </c>
      <c r="H74" t="s">
        <v>7</v>
      </c>
      <c r="I74" s="2">
        <v>45748</v>
      </c>
      <c r="J74" s="2">
        <f t="shared" si="4"/>
        <v>45782</v>
      </c>
      <c r="K74" t="str">
        <f t="shared" si="5"/>
        <v>Churn Risk</v>
      </c>
    </row>
    <row r="75" spans="1:11" x14ac:dyDescent="0.3">
      <c r="A75">
        <v>222</v>
      </c>
      <c r="B75" s="2">
        <v>45752</v>
      </c>
      <c r="C75" t="str">
        <f>VLOOKUP(D75, Member_Master!A:B, 2, FALSE)</f>
        <v>M108</v>
      </c>
      <c r="D75" t="s">
        <v>115</v>
      </c>
      <c r="E75">
        <v>1000</v>
      </c>
      <c r="F75" t="str">
        <f t="shared" si="3"/>
        <v>Monthly</v>
      </c>
      <c r="G75" t="s">
        <v>9</v>
      </c>
      <c r="H75" t="s">
        <v>7</v>
      </c>
      <c r="I75" s="2">
        <v>45748</v>
      </c>
      <c r="J75" s="2">
        <f t="shared" si="4"/>
        <v>45782</v>
      </c>
      <c r="K75" t="str">
        <f t="shared" si="5"/>
        <v>Churn Risk</v>
      </c>
    </row>
    <row r="76" spans="1:11" x14ac:dyDescent="0.3">
      <c r="A76">
        <v>215</v>
      </c>
      <c r="B76" s="2">
        <v>45753</v>
      </c>
      <c r="C76" t="str">
        <f>VLOOKUP(D76, Member_Master!A:B, 2, FALSE)</f>
        <v>M103</v>
      </c>
      <c r="D76" t="s">
        <v>110</v>
      </c>
      <c r="E76">
        <v>1000</v>
      </c>
      <c r="F76" t="str">
        <f t="shared" si="3"/>
        <v>Monthly</v>
      </c>
      <c r="G76" t="s">
        <v>6</v>
      </c>
      <c r="H76" t="s">
        <v>7</v>
      </c>
      <c r="I76" s="2">
        <v>45748</v>
      </c>
      <c r="J76" s="2">
        <f t="shared" si="4"/>
        <v>45783</v>
      </c>
      <c r="K76" t="str">
        <f t="shared" si="5"/>
        <v>Churn Risk</v>
      </c>
    </row>
    <row r="77" spans="1:11" x14ac:dyDescent="0.3">
      <c r="A77">
        <v>48</v>
      </c>
      <c r="B77" s="2">
        <v>45754</v>
      </c>
      <c r="C77" t="str">
        <f>VLOOKUP(D77, Member_Master!A:B, 2, FALSE)</f>
        <v>M025</v>
      </c>
      <c r="D77" t="s">
        <v>32</v>
      </c>
      <c r="E77">
        <v>4200</v>
      </c>
      <c r="F77" t="str">
        <f t="shared" si="3"/>
        <v>3 Months</v>
      </c>
      <c r="G77" t="s">
        <v>9</v>
      </c>
      <c r="H77" t="s">
        <v>7</v>
      </c>
      <c r="I77" s="2">
        <v>45748</v>
      </c>
      <c r="J77" s="2">
        <f t="shared" si="4"/>
        <v>45844</v>
      </c>
      <c r="K77" t="str">
        <f t="shared" si="5"/>
        <v>Churn Risk</v>
      </c>
    </row>
    <row r="78" spans="1:11" x14ac:dyDescent="0.3">
      <c r="A78">
        <v>159</v>
      </c>
      <c r="B78" s="2">
        <v>45754</v>
      </c>
      <c r="C78" t="str">
        <f>VLOOKUP(D78, Member_Master!A:B, 2, FALSE)</f>
        <v>M076</v>
      </c>
      <c r="D78" t="s">
        <v>83</v>
      </c>
      <c r="E78">
        <v>3000</v>
      </c>
      <c r="F78" t="str">
        <f t="shared" si="3"/>
        <v>3 Months</v>
      </c>
      <c r="G78" t="s">
        <v>6</v>
      </c>
      <c r="H78" t="s">
        <v>467</v>
      </c>
      <c r="I78" s="2">
        <v>45748</v>
      </c>
      <c r="J78" s="2">
        <f t="shared" si="4"/>
        <v>45844</v>
      </c>
      <c r="K78" t="str">
        <f t="shared" si="5"/>
        <v>Churn Risk</v>
      </c>
    </row>
    <row r="79" spans="1:11" x14ac:dyDescent="0.3">
      <c r="A79">
        <v>70</v>
      </c>
      <c r="B79" s="2">
        <v>45757</v>
      </c>
      <c r="C79" t="str">
        <f>VLOOKUP(D79, Member_Master!A:B, 2, FALSE)</f>
        <v>M032</v>
      </c>
      <c r="D79" t="s">
        <v>39</v>
      </c>
      <c r="E79">
        <v>1000</v>
      </c>
      <c r="F79" t="str">
        <f t="shared" si="3"/>
        <v>Monthly</v>
      </c>
      <c r="G79" t="s">
        <v>6</v>
      </c>
      <c r="H79" t="s">
        <v>7</v>
      </c>
      <c r="I79" s="2">
        <v>45748</v>
      </c>
      <c r="J79" s="2">
        <f t="shared" si="4"/>
        <v>45787</v>
      </c>
      <c r="K79" t="str">
        <f t="shared" si="5"/>
        <v>Churn Risk</v>
      </c>
    </row>
    <row r="80" spans="1:11" x14ac:dyDescent="0.3">
      <c r="A80">
        <v>85</v>
      </c>
      <c r="B80" s="2">
        <v>45757</v>
      </c>
      <c r="C80" t="str">
        <f>VLOOKUP(D80, Member_Master!A:B, 2, FALSE)</f>
        <v>M040</v>
      </c>
      <c r="D80" t="s">
        <v>47</v>
      </c>
      <c r="E80">
        <v>1000</v>
      </c>
      <c r="F80" t="str">
        <f t="shared" si="3"/>
        <v>Monthly</v>
      </c>
      <c r="G80" t="s">
        <v>9</v>
      </c>
      <c r="H80" t="s">
        <v>7</v>
      </c>
      <c r="I80" s="2">
        <v>45748</v>
      </c>
      <c r="J80" s="2">
        <f t="shared" si="4"/>
        <v>45787</v>
      </c>
      <c r="K80" t="str">
        <f t="shared" si="5"/>
        <v>Churn Risk</v>
      </c>
    </row>
    <row r="81" spans="1:11" x14ac:dyDescent="0.3">
      <c r="A81">
        <v>89</v>
      </c>
      <c r="B81" s="2">
        <v>45757</v>
      </c>
      <c r="C81" t="str">
        <f>VLOOKUP(D81, Member_Master!A:B, 2, FALSE)</f>
        <v>M043</v>
      </c>
      <c r="D81" t="s">
        <v>50</v>
      </c>
      <c r="E81">
        <v>1000</v>
      </c>
      <c r="F81" t="str">
        <f t="shared" si="3"/>
        <v>Monthly</v>
      </c>
      <c r="G81" t="s">
        <v>9</v>
      </c>
      <c r="H81" t="s">
        <v>7</v>
      </c>
      <c r="I81" s="2">
        <v>45748</v>
      </c>
      <c r="J81" s="2">
        <f t="shared" si="4"/>
        <v>45787</v>
      </c>
      <c r="K81" t="str">
        <f t="shared" si="5"/>
        <v>Churn Risk</v>
      </c>
    </row>
    <row r="82" spans="1:11" x14ac:dyDescent="0.3">
      <c r="A82">
        <v>103</v>
      </c>
      <c r="B82" s="2">
        <v>45757</v>
      </c>
      <c r="C82" t="str">
        <f>VLOOKUP(D82, Member_Master!A:B, 2, FALSE)</f>
        <v>M051</v>
      </c>
      <c r="D82" t="s">
        <v>58</v>
      </c>
      <c r="E82">
        <v>800</v>
      </c>
      <c r="F82" t="str">
        <f t="shared" si="3"/>
        <v>Monthly</v>
      </c>
      <c r="G82" t="s">
        <v>9</v>
      </c>
      <c r="H82" t="s">
        <v>7</v>
      </c>
      <c r="I82" s="2">
        <v>45748</v>
      </c>
      <c r="J82" s="2">
        <f t="shared" si="4"/>
        <v>45787</v>
      </c>
      <c r="K82" t="str">
        <f t="shared" si="5"/>
        <v>Churn Risk</v>
      </c>
    </row>
    <row r="83" spans="1:11" x14ac:dyDescent="0.3">
      <c r="A83">
        <v>126</v>
      </c>
      <c r="B83" s="2">
        <v>45757</v>
      </c>
      <c r="C83" t="str">
        <f>VLOOKUP(D83, Member_Master!A:B, 2, FALSE)</f>
        <v>M065</v>
      </c>
      <c r="D83" t="s">
        <v>72</v>
      </c>
      <c r="E83">
        <v>1000</v>
      </c>
      <c r="F83" t="str">
        <f t="shared" si="3"/>
        <v>Monthly</v>
      </c>
      <c r="G83" t="s">
        <v>6</v>
      </c>
      <c r="H83" t="s">
        <v>7</v>
      </c>
      <c r="I83" s="2">
        <v>45748</v>
      </c>
      <c r="J83" s="2">
        <f t="shared" si="4"/>
        <v>45787</v>
      </c>
      <c r="K83" t="str">
        <f t="shared" si="5"/>
        <v>Churn Risk</v>
      </c>
    </row>
    <row r="84" spans="1:11" x14ac:dyDescent="0.3">
      <c r="A84">
        <v>142</v>
      </c>
      <c r="B84" s="2">
        <v>45757</v>
      </c>
      <c r="C84" t="str">
        <f>VLOOKUP(D84, Member_Master!A:B, 2, FALSE)</f>
        <v>M070</v>
      </c>
      <c r="D84" t="s">
        <v>77</v>
      </c>
      <c r="E84">
        <v>2000</v>
      </c>
      <c r="F84" t="str">
        <f t="shared" si="3"/>
        <v>Monthly</v>
      </c>
      <c r="G84" t="s">
        <v>9</v>
      </c>
      <c r="H84" t="s">
        <v>7</v>
      </c>
      <c r="I84" s="2">
        <v>45748</v>
      </c>
      <c r="J84" s="2">
        <f t="shared" si="4"/>
        <v>45787</v>
      </c>
      <c r="K84" t="str">
        <f t="shared" si="5"/>
        <v>Churn Risk</v>
      </c>
    </row>
    <row r="85" spans="1:11" x14ac:dyDescent="0.3">
      <c r="A85">
        <v>185</v>
      </c>
      <c r="B85" s="2">
        <v>45757</v>
      </c>
      <c r="C85" t="str">
        <f>VLOOKUP(D85, Member_Master!A:B, 2, FALSE)</f>
        <v>M084</v>
      </c>
      <c r="D85" t="s">
        <v>91</v>
      </c>
      <c r="E85">
        <v>1000</v>
      </c>
      <c r="F85" t="str">
        <f t="shared" si="3"/>
        <v>Monthly</v>
      </c>
      <c r="G85" t="s">
        <v>9</v>
      </c>
      <c r="H85" t="s">
        <v>7</v>
      </c>
      <c r="I85" s="2">
        <v>45748</v>
      </c>
      <c r="J85" s="2">
        <f t="shared" si="4"/>
        <v>45787</v>
      </c>
      <c r="K85" t="str">
        <f t="shared" si="5"/>
        <v>Churn Risk</v>
      </c>
    </row>
    <row r="86" spans="1:11" x14ac:dyDescent="0.3">
      <c r="A86">
        <v>212</v>
      </c>
      <c r="B86" s="2">
        <v>45757</v>
      </c>
      <c r="C86" t="str">
        <f>VLOOKUP(D86, Member_Master!A:B, 2, FALSE)</f>
        <v>M102</v>
      </c>
      <c r="D86" t="s">
        <v>109</v>
      </c>
      <c r="E86">
        <v>600</v>
      </c>
      <c r="F86" t="str">
        <f t="shared" si="3"/>
        <v>Monthly</v>
      </c>
      <c r="G86" t="s">
        <v>6</v>
      </c>
      <c r="H86" t="s">
        <v>7</v>
      </c>
      <c r="I86" s="2">
        <v>45748</v>
      </c>
      <c r="J86" s="2">
        <f t="shared" si="4"/>
        <v>45787</v>
      </c>
      <c r="K86" t="str">
        <f t="shared" si="5"/>
        <v>Churn Risk</v>
      </c>
    </row>
    <row r="87" spans="1:11" x14ac:dyDescent="0.3">
      <c r="A87">
        <v>283</v>
      </c>
      <c r="B87" s="2">
        <v>45757</v>
      </c>
      <c r="C87" t="str">
        <f>VLOOKUP(D87, Member_Master!A:B, 2, FALSE)</f>
        <v>M141</v>
      </c>
      <c r="D87" t="s">
        <v>148</v>
      </c>
      <c r="E87">
        <v>1000</v>
      </c>
      <c r="F87" t="str">
        <f t="shared" si="3"/>
        <v>Monthly</v>
      </c>
      <c r="G87" t="s">
        <v>9</v>
      </c>
      <c r="H87" t="s">
        <v>7</v>
      </c>
      <c r="I87" s="2">
        <v>45748</v>
      </c>
      <c r="J87" s="2">
        <f t="shared" si="4"/>
        <v>45787</v>
      </c>
      <c r="K87" t="str">
        <f t="shared" si="5"/>
        <v>Churn Risk</v>
      </c>
    </row>
    <row r="88" spans="1:11" x14ac:dyDescent="0.3">
      <c r="A88">
        <v>327</v>
      </c>
      <c r="B88" s="2">
        <v>45757</v>
      </c>
      <c r="C88" t="str">
        <f>VLOOKUP(D88, Member_Master!A:B, 2, FALSE)</f>
        <v>M174</v>
      </c>
      <c r="D88" t="s">
        <v>181</v>
      </c>
      <c r="E88">
        <v>1000</v>
      </c>
      <c r="F88" t="str">
        <f t="shared" si="3"/>
        <v>Monthly</v>
      </c>
      <c r="G88" t="s">
        <v>9</v>
      </c>
      <c r="H88" t="s">
        <v>7</v>
      </c>
      <c r="I88" s="2">
        <v>45748</v>
      </c>
      <c r="J88" s="2">
        <f t="shared" si="4"/>
        <v>45787</v>
      </c>
      <c r="K88" t="str">
        <f t="shared" si="5"/>
        <v>Churn Risk</v>
      </c>
    </row>
    <row r="89" spans="1:11" x14ac:dyDescent="0.3">
      <c r="A89">
        <v>338</v>
      </c>
      <c r="B89" s="2">
        <v>45757</v>
      </c>
      <c r="C89" t="str">
        <f>VLOOKUP(D89, Member_Master!A:B, 2, FALSE)</f>
        <v>M179</v>
      </c>
      <c r="D89" t="s">
        <v>186</v>
      </c>
      <c r="E89">
        <v>1000</v>
      </c>
      <c r="F89" t="str">
        <f t="shared" si="3"/>
        <v>Monthly</v>
      </c>
      <c r="G89" t="s">
        <v>9</v>
      </c>
      <c r="H89" t="s">
        <v>7</v>
      </c>
      <c r="I89" s="2">
        <v>45748</v>
      </c>
      <c r="J89" s="2">
        <f t="shared" si="4"/>
        <v>45787</v>
      </c>
      <c r="K89" t="str">
        <f t="shared" si="5"/>
        <v>Churn Risk</v>
      </c>
    </row>
    <row r="90" spans="1:11" x14ac:dyDescent="0.3">
      <c r="A90">
        <v>25</v>
      </c>
      <c r="B90" s="2">
        <v>45758</v>
      </c>
      <c r="C90" t="str">
        <f>VLOOKUP(D90, Member_Master!A:B, 2, FALSE)</f>
        <v>M013</v>
      </c>
      <c r="D90" t="s">
        <v>20</v>
      </c>
      <c r="E90">
        <v>2400</v>
      </c>
      <c r="F90" t="str">
        <f t="shared" si="3"/>
        <v>3 Months</v>
      </c>
      <c r="G90" t="s">
        <v>9</v>
      </c>
      <c r="H90" t="s">
        <v>7</v>
      </c>
      <c r="I90" s="2">
        <v>45748</v>
      </c>
      <c r="J90" s="2">
        <f t="shared" si="4"/>
        <v>45848</v>
      </c>
      <c r="K90" t="str">
        <f t="shared" si="5"/>
        <v>Churn Risk</v>
      </c>
    </row>
    <row r="91" spans="1:11" x14ac:dyDescent="0.3">
      <c r="A91">
        <v>58</v>
      </c>
      <c r="B91" s="2">
        <v>45758</v>
      </c>
      <c r="C91" t="str">
        <f>VLOOKUP(D91, Member_Master!A:B, 2, FALSE)</f>
        <v>M030</v>
      </c>
      <c r="D91" t="s">
        <v>37</v>
      </c>
      <c r="E91">
        <v>1000</v>
      </c>
      <c r="F91" t="str">
        <f t="shared" si="3"/>
        <v>Monthly</v>
      </c>
      <c r="G91" t="s">
        <v>6</v>
      </c>
      <c r="H91" t="s">
        <v>7</v>
      </c>
      <c r="I91" s="2">
        <v>45748</v>
      </c>
      <c r="J91" s="2">
        <f t="shared" si="4"/>
        <v>45788</v>
      </c>
      <c r="K91" t="str">
        <f t="shared" si="5"/>
        <v>Churn Risk</v>
      </c>
    </row>
    <row r="92" spans="1:11" x14ac:dyDescent="0.3">
      <c r="A92">
        <v>72</v>
      </c>
      <c r="B92" s="2">
        <v>45758</v>
      </c>
      <c r="C92" t="str">
        <f>VLOOKUP(D92, Member_Master!A:B, 2, FALSE)</f>
        <v>M033</v>
      </c>
      <c r="D92" t="s">
        <v>40</v>
      </c>
      <c r="E92">
        <v>1000</v>
      </c>
      <c r="F92" t="str">
        <f t="shared" si="3"/>
        <v>Monthly</v>
      </c>
      <c r="G92" t="s">
        <v>6</v>
      </c>
      <c r="H92" t="s">
        <v>7</v>
      </c>
      <c r="I92" s="2">
        <v>45748</v>
      </c>
      <c r="J92" s="2">
        <f t="shared" si="4"/>
        <v>45788</v>
      </c>
      <c r="K92" t="str">
        <f t="shared" si="5"/>
        <v>Churn Risk</v>
      </c>
    </row>
    <row r="93" spans="1:11" x14ac:dyDescent="0.3">
      <c r="A93">
        <v>104</v>
      </c>
      <c r="B93" s="2">
        <v>45758</v>
      </c>
      <c r="C93" t="str">
        <f>VLOOKUP(D93, Member_Master!A:B, 2, FALSE)</f>
        <v>M052</v>
      </c>
      <c r="D93" t="s">
        <v>59</v>
      </c>
      <c r="E93">
        <v>2400</v>
      </c>
      <c r="F93" t="str">
        <f t="shared" si="3"/>
        <v>3 Months</v>
      </c>
      <c r="G93" t="s">
        <v>6</v>
      </c>
      <c r="H93" t="s">
        <v>7</v>
      </c>
      <c r="I93" s="2">
        <v>45748</v>
      </c>
      <c r="J93" s="2">
        <f t="shared" si="4"/>
        <v>45848</v>
      </c>
      <c r="K93" t="str">
        <f t="shared" si="5"/>
        <v>Churn Risk</v>
      </c>
    </row>
    <row r="94" spans="1:11" x14ac:dyDescent="0.3">
      <c r="A94">
        <v>230</v>
      </c>
      <c r="B94" s="2">
        <v>45758</v>
      </c>
      <c r="C94" t="str">
        <f>VLOOKUP(D94, Member_Master!A:B, 2, FALSE)</f>
        <v>M111</v>
      </c>
      <c r="D94" t="s">
        <v>118</v>
      </c>
      <c r="E94">
        <v>800</v>
      </c>
      <c r="F94" t="str">
        <f t="shared" si="3"/>
        <v>Monthly</v>
      </c>
      <c r="G94" t="s">
        <v>6</v>
      </c>
      <c r="H94" t="s">
        <v>7</v>
      </c>
      <c r="I94" s="2">
        <v>45748</v>
      </c>
      <c r="J94" s="2">
        <f t="shared" si="4"/>
        <v>45788</v>
      </c>
      <c r="K94" t="str">
        <f t="shared" si="5"/>
        <v>Churn Risk</v>
      </c>
    </row>
    <row r="95" spans="1:11" x14ac:dyDescent="0.3">
      <c r="A95">
        <v>237</v>
      </c>
      <c r="B95" s="2">
        <v>45758</v>
      </c>
      <c r="C95" t="str">
        <f>VLOOKUP(D95, Member_Master!A:B, 2, FALSE)</f>
        <v>M114</v>
      </c>
      <c r="D95" t="s">
        <v>121</v>
      </c>
      <c r="E95">
        <v>2400</v>
      </c>
      <c r="F95" t="str">
        <f t="shared" si="3"/>
        <v>3 Months</v>
      </c>
      <c r="G95" t="s">
        <v>9</v>
      </c>
      <c r="H95" t="s">
        <v>7</v>
      </c>
      <c r="I95" s="2">
        <v>45748</v>
      </c>
      <c r="J95" s="2">
        <f t="shared" si="4"/>
        <v>45848</v>
      </c>
      <c r="K95" t="str">
        <f t="shared" si="5"/>
        <v>Churn Risk</v>
      </c>
    </row>
    <row r="96" spans="1:11" x14ac:dyDescent="0.3">
      <c r="A96">
        <v>288</v>
      </c>
      <c r="B96" s="2">
        <v>45758</v>
      </c>
      <c r="C96" t="str">
        <f>VLOOKUP(D96, Member_Master!A:B, 2, FALSE)</f>
        <v>M145</v>
      </c>
      <c r="D96" t="s">
        <v>152</v>
      </c>
      <c r="E96">
        <v>1000</v>
      </c>
      <c r="F96" t="str">
        <f t="shared" si="3"/>
        <v>Monthly</v>
      </c>
      <c r="G96" t="s">
        <v>9</v>
      </c>
      <c r="H96" t="s">
        <v>7</v>
      </c>
      <c r="I96" s="2">
        <v>45748</v>
      </c>
      <c r="J96" s="2">
        <f t="shared" si="4"/>
        <v>45788</v>
      </c>
      <c r="K96" t="str">
        <f t="shared" si="5"/>
        <v>Churn Risk</v>
      </c>
    </row>
    <row r="97" spans="1:11" x14ac:dyDescent="0.3">
      <c r="A97">
        <v>321</v>
      </c>
      <c r="B97" s="2">
        <v>45758</v>
      </c>
      <c r="C97" t="str">
        <f>VLOOKUP(D97, Member_Master!A:B, 2, FALSE)</f>
        <v>M170</v>
      </c>
      <c r="D97" t="s">
        <v>177</v>
      </c>
      <c r="E97">
        <v>2400</v>
      </c>
      <c r="F97" t="str">
        <f t="shared" si="3"/>
        <v>3 Months</v>
      </c>
      <c r="G97" t="s">
        <v>6</v>
      </c>
      <c r="H97" t="s">
        <v>7</v>
      </c>
      <c r="I97" s="2">
        <v>45748</v>
      </c>
      <c r="J97" s="2">
        <f t="shared" si="4"/>
        <v>45848</v>
      </c>
      <c r="K97" t="str">
        <f t="shared" si="5"/>
        <v>Churn Risk</v>
      </c>
    </row>
    <row r="98" spans="1:11" x14ac:dyDescent="0.3">
      <c r="A98">
        <v>345</v>
      </c>
      <c r="B98" s="2">
        <v>45758</v>
      </c>
      <c r="C98" t="str">
        <f>VLOOKUP(D98, Member_Master!A:B, 2, FALSE)</f>
        <v>M182</v>
      </c>
      <c r="D98" t="s">
        <v>189</v>
      </c>
      <c r="E98">
        <v>1000</v>
      </c>
      <c r="F98" t="str">
        <f t="shared" si="3"/>
        <v>Monthly</v>
      </c>
      <c r="G98" t="s">
        <v>6</v>
      </c>
      <c r="H98" t="s">
        <v>7</v>
      </c>
      <c r="I98" s="2">
        <v>45748</v>
      </c>
      <c r="J98" s="2">
        <f t="shared" si="4"/>
        <v>45788</v>
      </c>
      <c r="K98" t="str">
        <f t="shared" si="5"/>
        <v>Churn Risk</v>
      </c>
    </row>
    <row r="99" spans="1:11" x14ac:dyDescent="0.3">
      <c r="A99">
        <v>358</v>
      </c>
      <c r="B99" s="2">
        <v>45758</v>
      </c>
      <c r="C99" t="str">
        <f>VLOOKUP(D99, Member_Master!A:B, 2, FALSE)</f>
        <v>M191</v>
      </c>
      <c r="D99" t="s">
        <v>198</v>
      </c>
      <c r="E99">
        <v>1000</v>
      </c>
      <c r="F99" t="str">
        <f t="shared" si="3"/>
        <v>Monthly</v>
      </c>
      <c r="G99" t="s">
        <v>9</v>
      </c>
      <c r="H99" t="s">
        <v>7</v>
      </c>
      <c r="I99" s="2">
        <v>45748</v>
      </c>
      <c r="J99" s="2">
        <f t="shared" si="4"/>
        <v>45788</v>
      </c>
      <c r="K99" t="str">
        <f t="shared" si="5"/>
        <v>Churn Risk</v>
      </c>
    </row>
    <row r="100" spans="1:11" x14ac:dyDescent="0.3">
      <c r="A100">
        <v>367</v>
      </c>
      <c r="B100" s="2">
        <v>45758</v>
      </c>
      <c r="C100" t="str">
        <f>VLOOKUP(D100, Member_Master!A:B, 2, FALSE)</f>
        <v>M197</v>
      </c>
      <c r="D100" t="s">
        <v>204</v>
      </c>
      <c r="E100">
        <v>1000</v>
      </c>
      <c r="F100" t="str">
        <f t="shared" si="3"/>
        <v>Monthly</v>
      </c>
      <c r="G100" t="s">
        <v>9</v>
      </c>
      <c r="H100" t="s">
        <v>7</v>
      </c>
      <c r="I100" s="2">
        <v>45748</v>
      </c>
      <c r="J100" s="2">
        <f t="shared" si="4"/>
        <v>45788</v>
      </c>
      <c r="K100" t="str">
        <f t="shared" si="5"/>
        <v>Churn Risk</v>
      </c>
    </row>
    <row r="101" spans="1:11" x14ac:dyDescent="0.3">
      <c r="A101">
        <v>6</v>
      </c>
      <c r="B101" s="2">
        <v>45759</v>
      </c>
      <c r="C101" t="str">
        <f>VLOOKUP(D101, Member_Master!A:B, 2, FALSE)</f>
        <v>M004</v>
      </c>
      <c r="D101" t="s">
        <v>11</v>
      </c>
      <c r="E101">
        <v>1000</v>
      </c>
      <c r="F101" t="str">
        <f t="shared" si="3"/>
        <v>Monthly</v>
      </c>
      <c r="G101" t="s">
        <v>9</v>
      </c>
      <c r="H101" t="s">
        <v>7</v>
      </c>
      <c r="I101" s="2">
        <v>45748</v>
      </c>
      <c r="J101" s="2">
        <f t="shared" si="4"/>
        <v>45789</v>
      </c>
      <c r="K101" t="str">
        <f t="shared" si="5"/>
        <v>Churn Risk</v>
      </c>
    </row>
    <row r="102" spans="1:11" x14ac:dyDescent="0.3">
      <c r="A102">
        <v>52</v>
      </c>
      <c r="B102" s="2">
        <v>45759</v>
      </c>
      <c r="C102" t="str">
        <f>VLOOKUP(D102, Member_Master!A:B, 2, FALSE)</f>
        <v>M028</v>
      </c>
      <c r="D102" t="s">
        <v>35</v>
      </c>
      <c r="E102">
        <v>1000</v>
      </c>
      <c r="F102" t="str">
        <f t="shared" si="3"/>
        <v>Monthly</v>
      </c>
      <c r="G102" t="s">
        <v>9</v>
      </c>
      <c r="H102" t="s">
        <v>7</v>
      </c>
      <c r="I102" s="2">
        <v>45748</v>
      </c>
      <c r="J102" s="2">
        <f t="shared" si="4"/>
        <v>45789</v>
      </c>
      <c r="K102" t="str">
        <f t="shared" si="5"/>
        <v>Churn Risk</v>
      </c>
    </row>
    <row r="103" spans="1:11" x14ac:dyDescent="0.3">
      <c r="A103">
        <v>264</v>
      </c>
      <c r="B103" s="2">
        <v>45759</v>
      </c>
      <c r="C103" t="str">
        <f>VLOOKUP(D103, Member_Master!A:B, 2, FALSE)</f>
        <v>M129</v>
      </c>
      <c r="D103" t="s">
        <v>136</v>
      </c>
      <c r="E103">
        <v>1000</v>
      </c>
      <c r="F103" t="str">
        <f t="shared" si="3"/>
        <v>Monthly</v>
      </c>
      <c r="G103" t="s">
        <v>9</v>
      </c>
      <c r="H103" t="s">
        <v>7</v>
      </c>
      <c r="I103" s="2">
        <v>45748</v>
      </c>
      <c r="J103" s="2">
        <f t="shared" si="4"/>
        <v>45789</v>
      </c>
      <c r="K103" t="str">
        <f t="shared" si="5"/>
        <v>Churn Risk</v>
      </c>
    </row>
    <row r="104" spans="1:11" x14ac:dyDescent="0.3">
      <c r="A104">
        <v>360</v>
      </c>
      <c r="B104" s="2">
        <v>45759</v>
      </c>
      <c r="C104" t="str">
        <f>VLOOKUP(D104, Member_Master!A:B, 2, FALSE)</f>
        <v>M192</v>
      </c>
      <c r="D104" t="s">
        <v>199</v>
      </c>
      <c r="E104">
        <v>7000</v>
      </c>
      <c r="F104" t="str">
        <f t="shared" si="3"/>
        <v>6 Months</v>
      </c>
      <c r="G104" t="s">
        <v>6</v>
      </c>
      <c r="H104" t="s">
        <v>7</v>
      </c>
      <c r="I104" s="2">
        <v>45748</v>
      </c>
      <c r="J104" s="2">
        <f t="shared" si="4"/>
        <v>45939</v>
      </c>
      <c r="K104" t="str">
        <f t="shared" si="5"/>
        <v>Active</v>
      </c>
    </row>
    <row r="105" spans="1:11" x14ac:dyDescent="0.3">
      <c r="A105">
        <v>43</v>
      </c>
      <c r="B105" s="2">
        <v>45761</v>
      </c>
      <c r="C105" t="str">
        <f>VLOOKUP(D105, Member_Master!A:B, 2, FALSE)</f>
        <v>M022</v>
      </c>
      <c r="D105" t="s">
        <v>29</v>
      </c>
      <c r="E105">
        <v>2400</v>
      </c>
      <c r="F105" t="str">
        <f t="shared" si="3"/>
        <v>3 Months</v>
      </c>
      <c r="G105" t="s">
        <v>9</v>
      </c>
      <c r="H105" t="s">
        <v>7</v>
      </c>
      <c r="I105" s="2">
        <v>45748</v>
      </c>
      <c r="J105" s="2">
        <f t="shared" si="4"/>
        <v>45851</v>
      </c>
      <c r="K105" t="str">
        <f t="shared" si="5"/>
        <v>Churn Risk</v>
      </c>
    </row>
    <row r="106" spans="1:11" x14ac:dyDescent="0.3">
      <c r="A106">
        <v>46</v>
      </c>
      <c r="B106" s="2">
        <v>45761</v>
      </c>
      <c r="C106" t="str">
        <f>VLOOKUP(D106, Member_Master!A:B, 2, FALSE)</f>
        <v>M024</v>
      </c>
      <c r="D106" t="s">
        <v>31</v>
      </c>
      <c r="E106">
        <v>1000</v>
      </c>
      <c r="F106" t="str">
        <f t="shared" si="3"/>
        <v>Monthly</v>
      </c>
      <c r="G106" t="s">
        <v>6</v>
      </c>
      <c r="H106" t="s">
        <v>7</v>
      </c>
      <c r="I106" s="2">
        <v>45748</v>
      </c>
      <c r="J106" s="2">
        <f t="shared" si="4"/>
        <v>45791</v>
      </c>
      <c r="K106" t="str">
        <f t="shared" si="5"/>
        <v>Churn Risk</v>
      </c>
    </row>
    <row r="107" spans="1:11" x14ac:dyDescent="0.3">
      <c r="A107">
        <v>98</v>
      </c>
      <c r="B107" s="2">
        <v>45761</v>
      </c>
      <c r="C107" t="str">
        <f>VLOOKUP(D107, Member_Master!A:B, 2, FALSE)</f>
        <v>M049</v>
      </c>
      <c r="D107" t="s">
        <v>56</v>
      </c>
      <c r="E107">
        <v>1000</v>
      </c>
      <c r="F107" t="str">
        <f t="shared" si="3"/>
        <v>Monthly</v>
      </c>
      <c r="G107" t="s">
        <v>9</v>
      </c>
      <c r="H107" t="s">
        <v>7</v>
      </c>
      <c r="I107" s="2">
        <v>45748</v>
      </c>
      <c r="J107" s="2">
        <f t="shared" si="4"/>
        <v>45791</v>
      </c>
      <c r="K107" t="str">
        <f t="shared" si="5"/>
        <v>Churn Risk</v>
      </c>
    </row>
    <row r="108" spans="1:11" x14ac:dyDescent="0.3">
      <c r="A108">
        <v>121</v>
      </c>
      <c r="B108" s="2">
        <v>45761</v>
      </c>
      <c r="C108" t="str">
        <f>VLOOKUP(D108, Member_Master!A:B, 2, FALSE)</f>
        <v>M064</v>
      </c>
      <c r="D108" t="s">
        <v>71</v>
      </c>
      <c r="E108">
        <v>1000</v>
      </c>
      <c r="F108" t="str">
        <f t="shared" si="3"/>
        <v>Monthly</v>
      </c>
      <c r="G108" t="s">
        <v>9</v>
      </c>
      <c r="H108" t="s">
        <v>7</v>
      </c>
      <c r="I108" s="2">
        <v>45748</v>
      </c>
      <c r="J108" s="2">
        <f t="shared" si="4"/>
        <v>45791</v>
      </c>
      <c r="K108" t="str">
        <f t="shared" si="5"/>
        <v>Churn Risk</v>
      </c>
    </row>
    <row r="109" spans="1:11" x14ac:dyDescent="0.3">
      <c r="A109">
        <v>157</v>
      </c>
      <c r="B109" s="2">
        <v>45761</v>
      </c>
      <c r="C109" t="str">
        <f>VLOOKUP(D109, Member_Master!A:B, 2, FALSE)</f>
        <v>M075</v>
      </c>
      <c r="D109" t="s">
        <v>82</v>
      </c>
      <c r="E109">
        <v>7200</v>
      </c>
      <c r="F109" t="str">
        <f t="shared" si="3"/>
        <v>Yearly</v>
      </c>
      <c r="G109" t="s">
        <v>9</v>
      </c>
      <c r="H109" t="s">
        <v>7</v>
      </c>
      <c r="I109" s="2">
        <v>45748</v>
      </c>
      <c r="J109" s="2">
        <f t="shared" si="4"/>
        <v>46126</v>
      </c>
      <c r="K109" t="str">
        <f t="shared" si="5"/>
        <v>Active</v>
      </c>
    </row>
    <row r="110" spans="1:11" x14ac:dyDescent="0.3">
      <c r="A110">
        <v>181</v>
      </c>
      <c r="B110" s="2">
        <v>45761</v>
      </c>
      <c r="C110" t="str">
        <f>VLOOKUP(D110, Member_Master!A:B, 2, FALSE)</f>
        <v>M083</v>
      </c>
      <c r="D110" t="s">
        <v>90</v>
      </c>
      <c r="E110">
        <v>800</v>
      </c>
      <c r="F110" t="str">
        <f t="shared" si="3"/>
        <v>Monthly</v>
      </c>
      <c r="G110" t="s">
        <v>9</v>
      </c>
      <c r="H110" t="s">
        <v>7</v>
      </c>
      <c r="I110" s="2">
        <v>45748</v>
      </c>
      <c r="J110" s="2">
        <f t="shared" si="4"/>
        <v>45791</v>
      </c>
      <c r="K110" t="str">
        <f t="shared" si="5"/>
        <v>Churn Risk</v>
      </c>
    </row>
    <row r="111" spans="1:11" x14ac:dyDescent="0.3">
      <c r="A111">
        <v>198</v>
      </c>
      <c r="B111" s="2">
        <v>45761</v>
      </c>
      <c r="C111" t="str">
        <f>VLOOKUP(D111, Member_Master!A:B, 2, FALSE)</f>
        <v>M093</v>
      </c>
      <c r="D111" t="s">
        <v>100</v>
      </c>
      <c r="E111">
        <v>1000</v>
      </c>
      <c r="F111" t="str">
        <f t="shared" si="3"/>
        <v>Monthly</v>
      </c>
      <c r="G111" t="s">
        <v>9</v>
      </c>
      <c r="H111" t="s">
        <v>7</v>
      </c>
      <c r="I111" s="2">
        <v>45748</v>
      </c>
      <c r="J111" s="2">
        <f t="shared" si="4"/>
        <v>45791</v>
      </c>
      <c r="K111" t="str">
        <f t="shared" si="5"/>
        <v>Churn Risk</v>
      </c>
    </row>
    <row r="112" spans="1:11" x14ac:dyDescent="0.3">
      <c r="A112">
        <v>240</v>
      </c>
      <c r="B112" s="2">
        <v>45761</v>
      </c>
      <c r="C112" t="str">
        <f>VLOOKUP(D112, Member_Master!A:B, 2, FALSE)</f>
        <v>M116</v>
      </c>
      <c r="D112" t="s">
        <v>123</v>
      </c>
      <c r="E112">
        <v>1000</v>
      </c>
      <c r="F112" t="str">
        <f t="shared" si="3"/>
        <v>Monthly</v>
      </c>
      <c r="G112" t="s">
        <v>6</v>
      </c>
      <c r="H112" t="s">
        <v>7</v>
      </c>
      <c r="I112" s="2">
        <v>45748</v>
      </c>
      <c r="J112" s="2">
        <f t="shared" si="4"/>
        <v>45791</v>
      </c>
      <c r="K112" t="str">
        <f t="shared" si="5"/>
        <v>Churn Risk</v>
      </c>
    </row>
    <row r="113" spans="1:11" x14ac:dyDescent="0.3">
      <c r="A113">
        <v>267</v>
      </c>
      <c r="B113" s="2">
        <v>45761</v>
      </c>
      <c r="C113" t="str">
        <f>VLOOKUP(D113, Member_Master!A:B, 2, FALSE)</f>
        <v>M130</v>
      </c>
      <c r="D113" t="s">
        <v>137</v>
      </c>
      <c r="E113">
        <v>1000</v>
      </c>
      <c r="F113" t="str">
        <f t="shared" si="3"/>
        <v>Monthly</v>
      </c>
      <c r="G113" t="s">
        <v>9</v>
      </c>
      <c r="H113" t="s">
        <v>7</v>
      </c>
      <c r="I113" s="2">
        <v>45748</v>
      </c>
      <c r="J113" s="2">
        <f t="shared" si="4"/>
        <v>45791</v>
      </c>
      <c r="K113" t="str">
        <f t="shared" si="5"/>
        <v>Churn Risk</v>
      </c>
    </row>
    <row r="114" spans="1:11" x14ac:dyDescent="0.3">
      <c r="A114">
        <v>295</v>
      </c>
      <c r="B114" s="2">
        <v>45761</v>
      </c>
      <c r="C114" t="str">
        <f>VLOOKUP(D114, Member_Master!A:B, 2, FALSE)</f>
        <v>M148</v>
      </c>
      <c r="D114" t="s">
        <v>155</v>
      </c>
      <c r="E114">
        <v>1000</v>
      </c>
      <c r="F114" t="str">
        <f t="shared" si="3"/>
        <v>Monthly</v>
      </c>
      <c r="G114" t="s">
        <v>9</v>
      </c>
      <c r="H114" t="s">
        <v>7</v>
      </c>
      <c r="I114" s="2">
        <v>45748</v>
      </c>
      <c r="J114" s="2">
        <f t="shared" si="4"/>
        <v>45791</v>
      </c>
      <c r="K114" t="str">
        <f t="shared" si="5"/>
        <v>Churn Risk</v>
      </c>
    </row>
    <row r="115" spans="1:11" x14ac:dyDescent="0.3">
      <c r="A115">
        <v>305</v>
      </c>
      <c r="B115" s="2">
        <v>45761</v>
      </c>
      <c r="C115" t="str">
        <f>VLOOKUP(D115, Member_Master!A:B, 2, FALSE)</f>
        <v>M156</v>
      </c>
      <c r="D115" t="s">
        <v>163</v>
      </c>
      <c r="E115">
        <v>1000</v>
      </c>
      <c r="F115" t="str">
        <f t="shared" si="3"/>
        <v>Monthly</v>
      </c>
      <c r="G115" t="s">
        <v>6</v>
      </c>
      <c r="H115" t="s">
        <v>7</v>
      </c>
      <c r="I115" s="2">
        <v>45748</v>
      </c>
      <c r="J115" s="2">
        <f t="shared" si="4"/>
        <v>45791</v>
      </c>
      <c r="K115" t="str">
        <f t="shared" si="5"/>
        <v>Churn Risk</v>
      </c>
    </row>
    <row r="116" spans="1:11" x14ac:dyDescent="0.3">
      <c r="A116">
        <v>28</v>
      </c>
      <c r="B116" s="2">
        <v>45763</v>
      </c>
      <c r="C116" t="str">
        <f>VLOOKUP(D116, Member_Master!A:B, 2, FALSE)</f>
        <v>M014</v>
      </c>
      <c r="D116" t="s">
        <v>21</v>
      </c>
      <c r="E116">
        <v>1000</v>
      </c>
      <c r="F116" t="str">
        <f t="shared" si="3"/>
        <v>Monthly</v>
      </c>
      <c r="G116" t="s">
        <v>6</v>
      </c>
      <c r="H116" t="s">
        <v>7</v>
      </c>
      <c r="I116" s="2">
        <v>45748</v>
      </c>
      <c r="J116" s="2">
        <f t="shared" si="4"/>
        <v>45793</v>
      </c>
      <c r="K116" t="str">
        <f t="shared" si="5"/>
        <v>Churn Risk</v>
      </c>
    </row>
    <row r="117" spans="1:11" x14ac:dyDescent="0.3">
      <c r="A117">
        <v>32</v>
      </c>
      <c r="B117" s="2">
        <v>45763</v>
      </c>
      <c r="C117" t="str">
        <f>VLOOKUP(D117, Member_Master!A:B, 2, FALSE)</f>
        <v>M015</v>
      </c>
      <c r="D117" t="s">
        <v>22</v>
      </c>
      <c r="E117">
        <v>1000</v>
      </c>
      <c r="F117" t="str">
        <f t="shared" si="3"/>
        <v>Monthly</v>
      </c>
      <c r="G117" t="s">
        <v>6</v>
      </c>
      <c r="H117" t="s">
        <v>7</v>
      </c>
      <c r="I117" s="2">
        <v>45748</v>
      </c>
      <c r="J117" s="2">
        <f t="shared" si="4"/>
        <v>45793</v>
      </c>
      <c r="K117" t="str">
        <f t="shared" si="5"/>
        <v>Churn Risk</v>
      </c>
    </row>
    <row r="118" spans="1:11" x14ac:dyDescent="0.3">
      <c r="A118">
        <v>335</v>
      </c>
      <c r="B118" s="2">
        <v>45763</v>
      </c>
      <c r="C118" t="str">
        <f>VLOOKUP(D118, Member_Master!A:B, 2, FALSE)</f>
        <v>M177</v>
      </c>
      <c r="D118" t="s">
        <v>184</v>
      </c>
      <c r="E118">
        <v>1000</v>
      </c>
      <c r="F118" t="str">
        <f t="shared" si="3"/>
        <v>Monthly</v>
      </c>
      <c r="G118" t="s">
        <v>6</v>
      </c>
      <c r="H118" t="s">
        <v>7</v>
      </c>
      <c r="I118" s="2">
        <v>45748</v>
      </c>
      <c r="J118" s="2">
        <f t="shared" si="4"/>
        <v>45793</v>
      </c>
      <c r="K118" t="str">
        <f t="shared" si="5"/>
        <v>Churn Risk</v>
      </c>
    </row>
    <row r="119" spans="1:11" x14ac:dyDescent="0.3">
      <c r="A119">
        <v>342</v>
      </c>
      <c r="B119" s="2">
        <v>45763</v>
      </c>
      <c r="C119" t="str">
        <f>VLOOKUP(D119, Member_Master!A:B, 2, FALSE)</f>
        <v>M181</v>
      </c>
      <c r="D119" t="s">
        <v>188</v>
      </c>
      <c r="E119">
        <v>1000</v>
      </c>
      <c r="F119" t="str">
        <f t="shared" si="3"/>
        <v>Monthly</v>
      </c>
      <c r="G119" t="s">
        <v>6</v>
      </c>
      <c r="H119" t="s">
        <v>7</v>
      </c>
      <c r="I119" s="2">
        <v>45748</v>
      </c>
      <c r="J119" s="2">
        <f t="shared" si="4"/>
        <v>45793</v>
      </c>
      <c r="K119" t="str">
        <f t="shared" si="5"/>
        <v>Churn Risk</v>
      </c>
    </row>
    <row r="120" spans="1:11" x14ac:dyDescent="0.3">
      <c r="A120">
        <v>350</v>
      </c>
      <c r="B120" s="2">
        <v>45763</v>
      </c>
      <c r="C120" t="str">
        <f>VLOOKUP(D120, Member_Master!A:B, 2, FALSE)</f>
        <v>M186</v>
      </c>
      <c r="D120" t="s">
        <v>193</v>
      </c>
      <c r="E120">
        <v>1000</v>
      </c>
      <c r="F120" t="str">
        <f t="shared" si="3"/>
        <v>Monthly</v>
      </c>
      <c r="G120" t="s">
        <v>9</v>
      </c>
      <c r="H120" t="s">
        <v>7</v>
      </c>
      <c r="I120" s="2">
        <v>45748</v>
      </c>
      <c r="J120" s="2">
        <f t="shared" si="4"/>
        <v>45793</v>
      </c>
      <c r="K120" t="str">
        <f t="shared" si="5"/>
        <v>Churn Risk</v>
      </c>
    </row>
    <row r="121" spans="1:11" x14ac:dyDescent="0.3">
      <c r="A121">
        <v>34</v>
      </c>
      <c r="B121" s="2">
        <v>45765</v>
      </c>
      <c r="C121" t="str">
        <f>VLOOKUP(D121, Member_Master!A:B, 2, FALSE)</f>
        <v>M016</v>
      </c>
      <c r="D121" t="s">
        <v>23</v>
      </c>
      <c r="E121">
        <v>1000</v>
      </c>
      <c r="F121" t="str">
        <f t="shared" si="3"/>
        <v>Monthly</v>
      </c>
      <c r="G121" t="s">
        <v>9</v>
      </c>
      <c r="H121" t="s">
        <v>7</v>
      </c>
      <c r="I121" s="2">
        <v>45748</v>
      </c>
      <c r="J121" s="2">
        <f t="shared" si="4"/>
        <v>45795</v>
      </c>
      <c r="K121" t="str">
        <f t="shared" si="5"/>
        <v>Churn Risk</v>
      </c>
    </row>
    <row r="122" spans="1:11" x14ac:dyDescent="0.3">
      <c r="A122">
        <v>153</v>
      </c>
      <c r="B122" s="2">
        <v>45765</v>
      </c>
      <c r="C122" t="str">
        <f>VLOOKUP(D122, Member_Master!A:B, 2, FALSE)</f>
        <v>M072</v>
      </c>
      <c r="D122" t="s">
        <v>79</v>
      </c>
      <c r="E122">
        <v>1000</v>
      </c>
      <c r="F122" t="str">
        <f t="shared" si="3"/>
        <v>Monthly</v>
      </c>
      <c r="G122" t="s">
        <v>6</v>
      </c>
      <c r="H122" t="s">
        <v>7</v>
      </c>
      <c r="I122" s="2">
        <v>45748</v>
      </c>
      <c r="J122" s="2">
        <f t="shared" si="4"/>
        <v>45795</v>
      </c>
      <c r="K122" t="str">
        <f t="shared" si="5"/>
        <v>Churn Risk</v>
      </c>
    </row>
    <row r="123" spans="1:11" x14ac:dyDescent="0.3">
      <c r="A123">
        <v>286</v>
      </c>
      <c r="B123" s="2">
        <v>45765</v>
      </c>
      <c r="C123" t="str">
        <f>VLOOKUP(D123, Member_Master!A:B, 2, FALSE)</f>
        <v>M144</v>
      </c>
      <c r="D123" t="s">
        <v>151</v>
      </c>
      <c r="E123">
        <v>1800</v>
      </c>
      <c r="F123" t="str">
        <f t="shared" si="3"/>
        <v>Monthly</v>
      </c>
      <c r="G123" t="s">
        <v>9</v>
      </c>
      <c r="H123" t="s">
        <v>7</v>
      </c>
      <c r="I123" s="2">
        <v>45748</v>
      </c>
      <c r="J123" s="2">
        <f t="shared" si="4"/>
        <v>45795</v>
      </c>
      <c r="K123" t="str">
        <f t="shared" si="5"/>
        <v>Churn Risk</v>
      </c>
    </row>
    <row r="124" spans="1:11" x14ac:dyDescent="0.3">
      <c r="A124">
        <v>178</v>
      </c>
      <c r="B124" s="2">
        <v>45766</v>
      </c>
      <c r="C124" t="str">
        <f>VLOOKUP(D124, Member_Master!A:B, 2, FALSE)</f>
        <v>M081</v>
      </c>
      <c r="D124" t="s">
        <v>88</v>
      </c>
      <c r="E124">
        <v>1800</v>
      </c>
      <c r="F124" t="str">
        <f t="shared" si="3"/>
        <v>Monthly</v>
      </c>
      <c r="G124" t="s">
        <v>6</v>
      </c>
      <c r="H124" t="s">
        <v>7</v>
      </c>
      <c r="I124" s="2">
        <v>45748</v>
      </c>
      <c r="J124" s="2">
        <f t="shared" si="4"/>
        <v>45796</v>
      </c>
      <c r="K124" t="str">
        <f t="shared" si="5"/>
        <v>Churn Risk</v>
      </c>
    </row>
    <row r="125" spans="1:11" x14ac:dyDescent="0.3">
      <c r="A125">
        <v>261</v>
      </c>
      <c r="B125" s="2">
        <v>45766</v>
      </c>
      <c r="C125" t="str">
        <f>VLOOKUP(D125, Member_Master!A:B, 2, FALSE)</f>
        <v>M127</v>
      </c>
      <c r="D125" t="s">
        <v>134</v>
      </c>
      <c r="E125">
        <v>1000</v>
      </c>
      <c r="F125" t="str">
        <f t="shared" si="3"/>
        <v>Monthly</v>
      </c>
      <c r="G125" t="s">
        <v>6</v>
      </c>
      <c r="H125" t="s">
        <v>7</v>
      </c>
      <c r="I125" s="2">
        <v>45748</v>
      </c>
      <c r="J125" s="2">
        <f t="shared" si="4"/>
        <v>45796</v>
      </c>
      <c r="K125" t="str">
        <f t="shared" si="5"/>
        <v>Churn Risk</v>
      </c>
    </row>
    <row r="126" spans="1:11" x14ac:dyDescent="0.3">
      <c r="A126">
        <v>251</v>
      </c>
      <c r="B126" s="2">
        <v>45768</v>
      </c>
      <c r="C126" t="str">
        <f>VLOOKUP(D126, Member_Master!A:B, 2, FALSE)</f>
        <v>M121</v>
      </c>
      <c r="D126" t="s">
        <v>128</v>
      </c>
      <c r="E126">
        <v>700</v>
      </c>
      <c r="F126" t="str">
        <f t="shared" si="3"/>
        <v>Monthly</v>
      </c>
      <c r="G126" t="s">
        <v>6</v>
      </c>
      <c r="H126" t="s">
        <v>7</v>
      </c>
      <c r="I126" s="2">
        <v>45748</v>
      </c>
      <c r="J126" s="2">
        <f t="shared" si="4"/>
        <v>45798</v>
      </c>
      <c r="K126" t="str">
        <f t="shared" si="5"/>
        <v>Churn Risk</v>
      </c>
    </row>
    <row r="127" spans="1:11" x14ac:dyDescent="0.3">
      <c r="A127">
        <v>258</v>
      </c>
      <c r="B127" s="2">
        <v>45768</v>
      </c>
      <c r="C127" t="str">
        <f>VLOOKUP(D127, Member_Master!A:B, 2, FALSE)</f>
        <v>M126</v>
      </c>
      <c r="D127" t="s">
        <v>133</v>
      </c>
      <c r="E127">
        <v>2400</v>
      </c>
      <c r="F127" t="str">
        <f t="shared" si="3"/>
        <v>3 Months</v>
      </c>
      <c r="G127" t="s">
        <v>6</v>
      </c>
      <c r="H127" t="s">
        <v>7</v>
      </c>
      <c r="I127" s="2">
        <v>45748</v>
      </c>
      <c r="J127" s="2">
        <f t="shared" si="4"/>
        <v>45858</v>
      </c>
      <c r="K127" t="str">
        <f t="shared" si="5"/>
        <v>Churn Risk</v>
      </c>
    </row>
    <row r="128" spans="1:11" x14ac:dyDescent="0.3">
      <c r="A128">
        <v>281</v>
      </c>
      <c r="B128" s="2">
        <v>45769</v>
      </c>
      <c r="C128" t="str">
        <f>VLOOKUP(D128, Member_Master!A:B, 2, FALSE)</f>
        <v>M139</v>
      </c>
      <c r="D128" t="s">
        <v>146</v>
      </c>
      <c r="E128">
        <v>1000</v>
      </c>
      <c r="F128" t="str">
        <f t="shared" si="3"/>
        <v>Monthly</v>
      </c>
      <c r="G128" t="s">
        <v>6</v>
      </c>
      <c r="H128" t="s">
        <v>7</v>
      </c>
      <c r="I128" s="2">
        <v>45748</v>
      </c>
      <c r="J128" s="2">
        <f t="shared" si="4"/>
        <v>45799</v>
      </c>
      <c r="K128" t="str">
        <f t="shared" si="5"/>
        <v>Churn Risk</v>
      </c>
    </row>
    <row r="129" spans="1:11" x14ac:dyDescent="0.3">
      <c r="A129">
        <v>346</v>
      </c>
      <c r="B129" s="2">
        <v>45769</v>
      </c>
      <c r="C129" t="str">
        <f>VLOOKUP(D129, Member_Master!A:B, 2, FALSE)</f>
        <v>M183</v>
      </c>
      <c r="D129" t="s">
        <v>190</v>
      </c>
      <c r="E129">
        <v>1000</v>
      </c>
      <c r="F129" t="str">
        <f t="shared" si="3"/>
        <v>Monthly</v>
      </c>
      <c r="G129" t="s">
        <v>9</v>
      </c>
      <c r="H129" t="s">
        <v>7</v>
      </c>
      <c r="I129" s="2">
        <v>45748</v>
      </c>
      <c r="J129" s="2">
        <f t="shared" si="4"/>
        <v>45799</v>
      </c>
      <c r="K129" t="str">
        <f t="shared" si="5"/>
        <v>Churn Risk</v>
      </c>
    </row>
    <row r="130" spans="1:11" x14ac:dyDescent="0.3">
      <c r="A130">
        <v>39</v>
      </c>
      <c r="B130" s="2">
        <v>45772</v>
      </c>
      <c r="C130" t="str">
        <f>VLOOKUP(D130, Member_Master!A:B, 2, FALSE)</f>
        <v>M019</v>
      </c>
      <c r="D130" t="s">
        <v>26</v>
      </c>
      <c r="E130">
        <v>1000</v>
      </c>
      <c r="F130" t="str">
        <f t="shared" si="3"/>
        <v>Monthly</v>
      </c>
      <c r="G130" t="s">
        <v>9</v>
      </c>
      <c r="H130" t="s">
        <v>7</v>
      </c>
      <c r="I130" s="2">
        <v>45748</v>
      </c>
      <c r="J130" s="2">
        <f t="shared" si="4"/>
        <v>45802</v>
      </c>
      <c r="K130" t="str">
        <f t="shared" si="5"/>
        <v>Churn Risk</v>
      </c>
    </row>
    <row r="131" spans="1:11" x14ac:dyDescent="0.3">
      <c r="A131">
        <v>203</v>
      </c>
      <c r="B131" s="2">
        <v>45775</v>
      </c>
      <c r="C131" t="str">
        <f>VLOOKUP(D131, Member_Master!A:B, 2, FALSE)</f>
        <v>M097</v>
      </c>
      <c r="D131" t="s">
        <v>104</v>
      </c>
      <c r="E131">
        <v>1000</v>
      </c>
      <c r="F131" t="str">
        <f t="shared" si="3"/>
        <v>Monthly</v>
      </c>
      <c r="G131" t="s">
        <v>9</v>
      </c>
      <c r="H131" t="s">
        <v>7</v>
      </c>
      <c r="I131" s="2">
        <v>45748</v>
      </c>
      <c r="J131" s="2">
        <f t="shared" si="4"/>
        <v>45805</v>
      </c>
      <c r="K131" t="str">
        <f t="shared" si="5"/>
        <v>Churn Risk</v>
      </c>
    </row>
    <row r="132" spans="1:11" x14ac:dyDescent="0.3">
      <c r="A132">
        <v>14</v>
      </c>
      <c r="B132" s="2">
        <v>45776</v>
      </c>
      <c r="C132" t="str">
        <f>VLOOKUP(D132, Member_Master!A:B, 2, FALSE)</f>
        <v>M008</v>
      </c>
      <c r="D132" t="s">
        <v>15</v>
      </c>
      <c r="E132">
        <v>1000</v>
      </c>
      <c r="F132" t="str">
        <f t="shared" ref="F132:F195" si="6">IF(E132&lt;=2200,"Monthly",IF(E132&lt;=4500,"3 Months",
IF(E132&lt;=7000,"6 Months",
"Yearly")))</f>
        <v>Monthly</v>
      </c>
      <c r="G132" t="s">
        <v>9</v>
      </c>
      <c r="H132" t="s">
        <v>7</v>
      </c>
      <c r="I132" s="2">
        <v>45748</v>
      </c>
      <c r="J132" s="2">
        <f t="shared" ref="J132:J195" si="7">IF(F132="Monthly",B132+30,IF(F132="3 Months",B132+90,IF(F132="6 Months",B132+180,IF(F132="Yearly",B132+365,"Check Plan"))))</f>
        <v>45806</v>
      </c>
      <c r="K132" t="str">
        <f t="shared" ref="K132:K195" si="8">IF($N$4&lt;=J132,"Active",IF($N$4-J132&lt;=30,"At Risk","Churn Risk"))</f>
        <v>Churn Risk</v>
      </c>
    </row>
    <row r="133" spans="1:11" x14ac:dyDescent="0.3">
      <c r="A133">
        <v>96</v>
      </c>
      <c r="B133" s="2">
        <v>45778</v>
      </c>
      <c r="C133" t="str">
        <f>VLOOKUP(D133, Member_Master!A:B, 2, FALSE)</f>
        <v>M048</v>
      </c>
      <c r="D133" t="s">
        <v>55</v>
      </c>
      <c r="E133">
        <v>2400</v>
      </c>
      <c r="F133" t="str">
        <f t="shared" si="6"/>
        <v>3 Months</v>
      </c>
      <c r="G133" t="s">
        <v>6</v>
      </c>
      <c r="H133" t="s">
        <v>7</v>
      </c>
      <c r="I133" s="2">
        <v>45778</v>
      </c>
      <c r="J133" s="2">
        <f t="shared" si="7"/>
        <v>45868</v>
      </c>
      <c r="K133" t="str">
        <f t="shared" si="8"/>
        <v>Churn Risk</v>
      </c>
    </row>
    <row r="134" spans="1:11" x14ac:dyDescent="0.3">
      <c r="A134">
        <v>314</v>
      </c>
      <c r="B134" s="2">
        <v>45778</v>
      </c>
      <c r="C134" t="str">
        <f>VLOOKUP(D134, Member_Master!A:B, 2, FALSE)</f>
        <v>M164</v>
      </c>
      <c r="D134" t="s">
        <v>171</v>
      </c>
      <c r="E134">
        <v>4200</v>
      </c>
      <c r="F134" t="str">
        <f t="shared" si="6"/>
        <v>3 Months</v>
      </c>
      <c r="G134" t="s">
        <v>9</v>
      </c>
      <c r="H134" t="s">
        <v>7</v>
      </c>
      <c r="I134" s="2">
        <v>45778</v>
      </c>
      <c r="J134" s="2">
        <f t="shared" si="7"/>
        <v>45868</v>
      </c>
      <c r="K134" t="str">
        <f t="shared" si="8"/>
        <v>Churn Risk</v>
      </c>
    </row>
    <row r="135" spans="1:11" x14ac:dyDescent="0.3">
      <c r="A135">
        <v>339</v>
      </c>
      <c r="B135" s="2">
        <v>45778</v>
      </c>
      <c r="C135" t="str">
        <f>VLOOKUP(D135, Member_Master!A:B, 2, FALSE)</f>
        <v>M180</v>
      </c>
      <c r="D135" t="s">
        <v>187</v>
      </c>
      <c r="E135">
        <v>1000</v>
      </c>
      <c r="F135" t="str">
        <f t="shared" si="6"/>
        <v>Monthly</v>
      </c>
      <c r="G135" t="s">
        <v>9</v>
      </c>
      <c r="H135" t="s">
        <v>7</v>
      </c>
      <c r="I135" s="2">
        <v>45778</v>
      </c>
      <c r="J135" s="2">
        <f t="shared" si="7"/>
        <v>45808</v>
      </c>
      <c r="K135" t="str">
        <f t="shared" si="8"/>
        <v>Churn Risk</v>
      </c>
    </row>
    <row r="136" spans="1:11" x14ac:dyDescent="0.3">
      <c r="A136">
        <v>17</v>
      </c>
      <c r="B136" s="2">
        <v>45779</v>
      </c>
      <c r="C136" t="str">
        <f>VLOOKUP(D136, Member_Master!A:B, 2, FALSE)</f>
        <v>M010</v>
      </c>
      <c r="D136" t="s">
        <v>17</v>
      </c>
      <c r="E136">
        <v>1000</v>
      </c>
      <c r="F136" t="str">
        <f t="shared" si="6"/>
        <v>Monthly</v>
      </c>
      <c r="G136" t="s">
        <v>6</v>
      </c>
      <c r="H136" t="s">
        <v>7</v>
      </c>
      <c r="I136" s="2">
        <v>45778</v>
      </c>
      <c r="J136" s="2">
        <f t="shared" si="7"/>
        <v>45809</v>
      </c>
      <c r="K136" t="str">
        <f t="shared" si="8"/>
        <v>Churn Risk</v>
      </c>
    </row>
    <row r="137" spans="1:11" x14ac:dyDescent="0.3">
      <c r="A137">
        <v>135</v>
      </c>
      <c r="B137" s="2">
        <v>45779</v>
      </c>
      <c r="C137" t="str">
        <f>VLOOKUP(D137, Member_Master!A:B, 2, FALSE)</f>
        <v>M069</v>
      </c>
      <c r="D137" t="s">
        <v>76</v>
      </c>
      <c r="E137">
        <v>1000</v>
      </c>
      <c r="F137" t="str">
        <f t="shared" si="6"/>
        <v>Monthly</v>
      </c>
      <c r="G137" t="s">
        <v>6</v>
      </c>
      <c r="H137" t="s">
        <v>7</v>
      </c>
      <c r="I137" s="2">
        <v>45778</v>
      </c>
      <c r="J137" s="2">
        <f t="shared" si="7"/>
        <v>45809</v>
      </c>
      <c r="K137" t="str">
        <f t="shared" si="8"/>
        <v>Churn Risk</v>
      </c>
    </row>
    <row r="138" spans="1:11" x14ac:dyDescent="0.3">
      <c r="A138">
        <v>374</v>
      </c>
      <c r="B138" s="2">
        <v>45779</v>
      </c>
      <c r="C138" t="str">
        <f>VLOOKUP(D138, Member_Master!A:B, 2, FALSE)</f>
        <v>M199</v>
      </c>
      <c r="D138" t="s">
        <v>206</v>
      </c>
      <c r="E138">
        <v>1000</v>
      </c>
      <c r="F138" t="str">
        <f t="shared" si="6"/>
        <v>Monthly</v>
      </c>
      <c r="G138" t="s">
        <v>9</v>
      </c>
      <c r="H138" t="s">
        <v>7</v>
      </c>
      <c r="I138" s="2">
        <v>45778</v>
      </c>
      <c r="J138" s="2">
        <f t="shared" si="7"/>
        <v>45809</v>
      </c>
      <c r="K138" t="str">
        <f t="shared" si="8"/>
        <v>Churn Risk</v>
      </c>
    </row>
    <row r="139" spans="1:11" x14ac:dyDescent="0.3">
      <c r="A139">
        <v>169</v>
      </c>
      <c r="B139" s="2">
        <v>45782</v>
      </c>
      <c r="C139" t="str">
        <f>VLOOKUP(D139, Member_Master!A:B, 2, FALSE)</f>
        <v>M080</v>
      </c>
      <c r="D139" t="s">
        <v>87</v>
      </c>
      <c r="E139">
        <v>1000</v>
      </c>
      <c r="F139" t="str">
        <f t="shared" si="6"/>
        <v>Monthly</v>
      </c>
      <c r="G139" t="s">
        <v>6</v>
      </c>
      <c r="H139" t="s">
        <v>7</v>
      </c>
      <c r="I139" s="2">
        <v>45778</v>
      </c>
      <c r="J139" s="2">
        <f t="shared" si="7"/>
        <v>45812</v>
      </c>
      <c r="K139" t="str">
        <f t="shared" si="8"/>
        <v>Churn Risk</v>
      </c>
    </row>
    <row r="140" spans="1:11" x14ac:dyDescent="0.3">
      <c r="A140">
        <v>347</v>
      </c>
      <c r="B140" s="2">
        <v>45782</v>
      </c>
      <c r="C140" t="str">
        <f>VLOOKUP(D140, Member_Master!A:B, 2, FALSE)</f>
        <v>M184</v>
      </c>
      <c r="D140" t="s">
        <v>191</v>
      </c>
      <c r="E140">
        <v>1500</v>
      </c>
      <c r="F140" t="str">
        <f t="shared" si="6"/>
        <v>Monthly</v>
      </c>
      <c r="G140" t="s">
        <v>6</v>
      </c>
      <c r="H140" t="s">
        <v>7</v>
      </c>
      <c r="I140" s="2">
        <v>45778</v>
      </c>
      <c r="J140" s="2">
        <f t="shared" si="7"/>
        <v>45812</v>
      </c>
      <c r="K140" t="str">
        <f t="shared" si="8"/>
        <v>Churn Risk</v>
      </c>
    </row>
    <row r="141" spans="1:11" x14ac:dyDescent="0.3">
      <c r="A141">
        <v>361</v>
      </c>
      <c r="B141" s="2">
        <v>45782</v>
      </c>
      <c r="C141" t="str">
        <f>VLOOKUP(D141, Member_Master!A:B, 2, FALSE)</f>
        <v>M193</v>
      </c>
      <c r="D141" t="s">
        <v>200</v>
      </c>
      <c r="E141">
        <v>2400</v>
      </c>
      <c r="F141" t="str">
        <f t="shared" si="6"/>
        <v>3 Months</v>
      </c>
      <c r="G141" t="s">
        <v>9</v>
      </c>
      <c r="H141" t="s">
        <v>7</v>
      </c>
      <c r="I141" s="2">
        <v>45778</v>
      </c>
      <c r="J141" s="2">
        <f t="shared" si="7"/>
        <v>45872</v>
      </c>
      <c r="K141" t="str">
        <f t="shared" si="8"/>
        <v>At Risk</v>
      </c>
    </row>
    <row r="142" spans="1:11" x14ac:dyDescent="0.3">
      <c r="A142">
        <v>20</v>
      </c>
      <c r="B142" s="2">
        <v>45783</v>
      </c>
      <c r="C142" t="str">
        <f>VLOOKUP(D142, Member_Master!A:B, 2, FALSE)</f>
        <v>M011</v>
      </c>
      <c r="D142" t="s">
        <v>18</v>
      </c>
      <c r="E142">
        <v>1000</v>
      </c>
      <c r="F142" t="str">
        <f t="shared" si="6"/>
        <v>Monthly</v>
      </c>
      <c r="G142" t="s">
        <v>9</v>
      </c>
      <c r="H142" t="s">
        <v>7</v>
      </c>
      <c r="I142" s="2">
        <v>45778</v>
      </c>
      <c r="J142" s="2">
        <f t="shared" si="7"/>
        <v>45813</v>
      </c>
      <c r="K142" t="str">
        <f t="shared" si="8"/>
        <v>Churn Risk</v>
      </c>
    </row>
    <row r="143" spans="1:11" x14ac:dyDescent="0.3">
      <c r="A143">
        <v>145</v>
      </c>
      <c r="B143" s="2">
        <v>45783</v>
      </c>
      <c r="C143" t="str">
        <f>VLOOKUP(D143, Member_Master!A:B, 2, FALSE)</f>
        <v>M071</v>
      </c>
      <c r="D143" t="s">
        <v>78</v>
      </c>
      <c r="E143">
        <v>1000</v>
      </c>
      <c r="F143" t="str">
        <f t="shared" si="6"/>
        <v>Monthly</v>
      </c>
      <c r="G143" t="s">
        <v>6</v>
      </c>
      <c r="H143" t="s">
        <v>7</v>
      </c>
      <c r="I143" s="2">
        <v>45778</v>
      </c>
      <c r="J143" s="2">
        <f t="shared" si="7"/>
        <v>45813</v>
      </c>
      <c r="K143" t="str">
        <f t="shared" si="8"/>
        <v>Churn Risk</v>
      </c>
    </row>
    <row r="144" spans="1:11" x14ac:dyDescent="0.3">
      <c r="A144">
        <v>174</v>
      </c>
      <c r="B144" s="2">
        <v>45783</v>
      </c>
      <c r="C144" t="str">
        <f>VLOOKUP(D144, Member_Master!A:B, 2, FALSE)</f>
        <v>M081</v>
      </c>
      <c r="D144" t="s">
        <v>88</v>
      </c>
      <c r="E144">
        <v>2000</v>
      </c>
      <c r="F144" t="str">
        <f t="shared" si="6"/>
        <v>Monthly</v>
      </c>
      <c r="G144" t="s">
        <v>6</v>
      </c>
      <c r="H144" t="s">
        <v>7</v>
      </c>
      <c r="I144" s="2">
        <v>45778</v>
      </c>
      <c r="J144" s="2">
        <f t="shared" si="7"/>
        <v>45813</v>
      </c>
      <c r="K144" t="str">
        <f t="shared" si="8"/>
        <v>Churn Risk</v>
      </c>
    </row>
    <row r="145" spans="1:11" x14ac:dyDescent="0.3">
      <c r="A145">
        <v>232</v>
      </c>
      <c r="B145" s="2">
        <v>45783</v>
      </c>
      <c r="C145" t="str">
        <f>VLOOKUP(D145, Member_Master!A:B, 2, FALSE)</f>
        <v>M112</v>
      </c>
      <c r="D145" t="s">
        <v>119</v>
      </c>
      <c r="E145">
        <v>1000</v>
      </c>
      <c r="F145" t="str">
        <f t="shared" si="6"/>
        <v>Monthly</v>
      </c>
      <c r="G145" t="s">
        <v>6</v>
      </c>
      <c r="H145" t="s">
        <v>7</v>
      </c>
      <c r="I145" s="2">
        <v>45778</v>
      </c>
      <c r="J145" s="2">
        <f t="shared" si="7"/>
        <v>45813</v>
      </c>
      <c r="K145" t="str">
        <f t="shared" si="8"/>
        <v>Churn Risk</v>
      </c>
    </row>
    <row r="146" spans="1:11" x14ac:dyDescent="0.3">
      <c r="A146">
        <v>331</v>
      </c>
      <c r="B146" s="2">
        <v>45783</v>
      </c>
      <c r="C146" t="str">
        <f>VLOOKUP(D146, Member_Master!A:B, 2, FALSE)</f>
        <v>M176</v>
      </c>
      <c r="D146" t="s">
        <v>183</v>
      </c>
      <c r="E146">
        <v>1000</v>
      </c>
      <c r="F146" t="str">
        <f t="shared" si="6"/>
        <v>Monthly</v>
      </c>
      <c r="G146" t="s">
        <v>9</v>
      </c>
      <c r="H146" t="s">
        <v>7</v>
      </c>
      <c r="I146" s="2">
        <v>45778</v>
      </c>
      <c r="J146" s="2">
        <f t="shared" si="7"/>
        <v>45813</v>
      </c>
      <c r="K146" t="str">
        <f t="shared" si="8"/>
        <v>Churn Risk</v>
      </c>
    </row>
    <row r="147" spans="1:11" x14ac:dyDescent="0.3">
      <c r="A147">
        <v>224</v>
      </c>
      <c r="B147" s="2">
        <v>45784</v>
      </c>
      <c r="C147" t="str">
        <f>VLOOKUP(D147, Member_Master!A:B, 2, FALSE)</f>
        <v>M108</v>
      </c>
      <c r="D147" t="s">
        <v>115</v>
      </c>
      <c r="E147">
        <v>1000</v>
      </c>
      <c r="F147" t="str">
        <f t="shared" si="6"/>
        <v>Monthly</v>
      </c>
      <c r="G147" t="s">
        <v>9</v>
      </c>
      <c r="H147" t="s">
        <v>7</v>
      </c>
      <c r="I147" s="2">
        <v>45778</v>
      </c>
      <c r="J147" s="2">
        <f t="shared" si="7"/>
        <v>45814</v>
      </c>
      <c r="K147" t="str">
        <f t="shared" si="8"/>
        <v>Churn Risk</v>
      </c>
    </row>
    <row r="148" spans="1:11" x14ac:dyDescent="0.3">
      <c r="A148">
        <v>228</v>
      </c>
      <c r="B148" s="2">
        <v>45784</v>
      </c>
      <c r="C148" t="str">
        <f>VLOOKUP(D148, Member_Master!A:B, 2, FALSE)</f>
        <v>M111</v>
      </c>
      <c r="D148" t="s">
        <v>118</v>
      </c>
      <c r="E148">
        <v>800</v>
      </c>
      <c r="F148" t="str">
        <f t="shared" si="6"/>
        <v>Monthly</v>
      </c>
      <c r="G148" t="s">
        <v>6</v>
      </c>
      <c r="H148" t="s">
        <v>7</v>
      </c>
      <c r="I148" s="2">
        <v>45778</v>
      </c>
      <c r="J148" s="2">
        <f t="shared" si="7"/>
        <v>45814</v>
      </c>
      <c r="K148" t="str">
        <f t="shared" si="8"/>
        <v>Churn Risk</v>
      </c>
    </row>
    <row r="149" spans="1:11" x14ac:dyDescent="0.3">
      <c r="A149">
        <v>329</v>
      </c>
      <c r="B149" s="2">
        <v>45784</v>
      </c>
      <c r="C149" t="str">
        <f>VLOOKUP(D149, Member_Master!A:B, 2, FALSE)</f>
        <v>M175</v>
      </c>
      <c r="D149" t="s">
        <v>182</v>
      </c>
      <c r="E149">
        <v>1000</v>
      </c>
      <c r="F149" t="str">
        <f t="shared" si="6"/>
        <v>Monthly</v>
      </c>
      <c r="G149" t="s">
        <v>9</v>
      </c>
      <c r="H149" t="s">
        <v>7</v>
      </c>
      <c r="I149" s="2">
        <v>45778</v>
      </c>
      <c r="J149" s="2">
        <f t="shared" si="7"/>
        <v>45814</v>
      </c>
      <c r="K149" t="str">
        <f t="shared" si="8"/>
        <v>Churn Risk</v>
      </c>
    </row>
    <row r="150" spans="1:11" x14ac:dyDescent="0.3">
      <c r="A150">
        <v>343</v>
      </c>
      <c r="B150" s="2">
        <v>45784</v>
      </c>
      <c r="C150" t="str">
        <f>VLOOKUP(D150, Member_Master!A:B, 2, FALSE)</f>
        <v>M182</v>
      </c>
      <c r="D150" t="s">
        <v>189</v>
      </c>
      <c r="E150">
        <v>1000</v>
      </c>
      <c r="F150" t="str">
        <f t="shared" si="6"/>
        <v>Monthly</v>
      </c>
      <c r="G150" t="s">
        <v>6</v>
      </c>
      <c r="H150" t="s">
        <v>7</v>
      </c>
      <c r="I150" s="2">
        <v>45778</v>
      </c>
      <c r="J150" s="2">
        <f t="shared" si="7"/>
        <v>45814</v>
      </c>
      <c r="K150" t="str">
        <f t="shared" si="8"/>
        <v>Churn Risk</v>
      </c>
    </row>
    <row r="151" spans="1:11" x14ac:dyDescent="0.3">
      <c r="A151">
        <v>67</v>
      </c>
      <c r="B151" s="2">
        <v>45785</v>
      </c>
      <c r="C151" t="str">
        <f>VLOOKUP(D151, Member_Master!A:B, 2, FALSE)</f>
        <v>M032</v>
      </c>
      <c r="D151" t="s">
        <v>39</v>
      </c>
      <c r="E151">
        <v>1000</v>
      </c>
      <c r="F151" t="str">
        <f t="shared" si="6"/>
        <v>Monthly</v>
      </c>
      <c r="G151" t="s">
        <v>6</v>
      </c>
      <c r="H151" t="s">
        <v>7</v>
      </c>
      <c r="I151" s="2">
        <v>45778</v>
      </c>
      <c r="J151" s="2">
        <f t="shared" si="7"/>
        <v>45815</v>
      </c>
      <c r="K151" t="str">
        <f t="shared" si="8"/>
        <v>Churn Risk</v>
      </c>
    </row>
    <row r="152" spans="1:11" x14ac:dyDescent="0.3">
      <c r="A152">
        <v>84</v>
      </c>
      <c r="B152" s="2">
        <v>45785</v>
      </c>
      <c r="C152" t="str">
        <f>VLOOKUP(D152, Member_Master!A:B, 2, FALSE)</f>
        <v>M040</v>
      </c>
      <c r="D152" t="s">
        <v>47</v>
      </c>
      <c r="E152">
        <v>1000</v>
      </c>
      <c r="F152" t="str">
        <f t="shared" si="6"/>
        <v>Monthly</v>
      </c>
      <c r="G152" t="s">
        <v>9</v>
      </c>
      <c r="H152" t="s">
        <v>7</v>
      </c>
      <c r="I152" s="2">
        <v>45778</v>
      </c>
      <c r="J152" s="2">
        <f t="shared" si="7"/>
        <v>45815</v>
      </c>
      <c r="K152" t="str">
        <f t="shared" si="8"/>
        <v>Churn Risk</v>
      </c>
    </row>
    <row r="153" spans="1:11" x14ac:dyDescent="0.3">
      <c r="A153">
        <v>262</v>
      </c>
      <c r="B153" s="2">
        <v>45785</v>
      </c>
      <c r="C153" t="str">
        <f>VLOOKUP(D153, Member_Master!A:B, 2, FALSE)</f>
        <v>M128</v>
      </c>
      <c r="D153" t="s">
        <v>135</v>
      </c>
      <c r="E153">
        <v>1000</v>
      </c>
      <c r="F153" t="str">
        <f t="shared" si="6"/>
        <v>Monthly</v>
      </c>
      <c r="G153" t="s">
        <v>9</v>
      </c>
      <c r="H153" t="s">
        <v>7</v>
      </c>
      <c r="I153" s="2">
        <v>45778</v>
      </c>
      <c r="J153" s="2">
        <f t="shared" si="7"/>
        <v>45815</v>
      </c>
      <c r="K153" t="str">
        <f t="shared" si="8"/>
        <v>Churn Risk</v>
      </c>
    </row>
    <row r="154" spans="1:11" x14ac:dyDescent="0.3">
      <c r="A154">
        <v>7</v>
      </c>
      <c r="B154" s="2">
        <v>45786</v>
      </c>
      <c r="C154" t="str">
        <f>VLOOKUP(D154, Member_Master!A:B, 2, FALSE)</f>
        <v>M005</v>
      </c>
      <c r="D154" t="s">
        <v>12</v>
      </c>
      <c r="E154">
        <v>1000</v>
      </c>
      <c r="F154" t="str">
        <f t="shared" si="6"/>
        <v>Monthly</v>
      </c>
      <c r="G154" t="s">
        <v>6</v>
      </c>
      <c r="H154" t="s">
        <v>7</v>
      </c>
      <c r="I154" s="2">
        <v>45778</v>
      </c>
      <c r="J154" s="2">
        <f t="shared" si="7"/>
        <v>45816</v>
      </c>
      <c r="K154" t="str">
        <f t="shared" si="8"/>
        <v>Churn Risk</v>
      </c>
    </row>
    <row r="155" spans="1:11" x14ac:dyDescent="0.3">
      <c r="A155">
        <v>35</v>
      </c>
      <c r="B155" s="2">
        <v>45786</v>
      </c>
      <c r="C155" t="str">
        <f>VLOOKUP(D155, Member_Master!A:B, 2, FALSE)</f>
        <v>M017</v>
      </c>
      <c r="D155" t="s">
        <v>24</v>
      </c>
      <c r="E155">
        <v>2400</v>
      </c>
      <c r="F155" t="str">
        <f t="shared" si="6"/>
        <v>3 Months</v>
      </c>
      <c r="G155" t="s">
        <v>6</v>
      </c>
      <c r="H155" t="s">
        <v>7</v>
      </c>
      <c r="I155" s="2">
        <v>45778</v>
      </c>
      <c r="J155" s="2">
        <f t="shared" si="7"/>
        <v>45876</v>
      </c>
      <c r="K155" t="str">
        <f t="shared" si="8"/>
        <v>At Risk</v>
      </c>
    </row>
    <row r="156" spans="1:11" x14ac:dyDescent="0.3">
      <c r="A156">
        <v>59</v>
      </c>
      <c r="B156" s="2">
        <v>45786</v>
      </c>
      <c r="C156" t="str">
        <f>VLOOKUP(D156, Member_Master!A:B, 2, FALSE)</f>
        <v>M030</v>
      </c>
      <c r="D156" t="s">
        <v>37</v>
      </c>
      <c r="E156">
        <v>1000</v>
      </c>
      <c r="F156" t="str">
        <f t="shared" si="6"/>
        <v>Monthly</v>
      </c>
      <c r="G156" t="s">
        <v>6</v>
      </c>
      <c r="H156" t="s">
        <v>7</v>
      </c>
      <c r="I156" s="2">
        <v>45778</v>
      </c>
      <c r="J156" s="2">
        <f t="shared" si="7"/>
        <v>45816</v>
      </c>
      <c r="K156" t="str">
        <f t="shared" si="8"/>
        <v>Churn Risk</v>
      </c>
    </row>
    <row r="157" spans="1:11" x14ac:dyDescent="0.3">
      <c r="A157">
        <v>76</v>
      </c>
      <c r="B157" s="2">
        <v>45786</v>
      </c>
      <c r="C157" t="str">
        <f>VLOOKUP(D157, Member_Master!A:B, 2, FALSE)</f>
        <v>M037</v>
      </c>
      <c r="D157" t="s">
        <v>44</v>
      </c>
      <c r="E157">
        <v>1000</v>
      </c>
      <c r="F157" t="str">
        <f t="shared" si="6"/>
        <v>Monthly</v>
      </c>
      <c r="G157" t="s">
        <v>9</v>
      </c>
      <c r="H157" t="s">
        <v>7</v>
      </c>
      <c r="I157" s="2">
        <v>45778</v>
      </c>
      <c r="J157" s="2">
        <f t="shared" si="7"/>
        <v>45816</v>
      </c>
      <c r="K157" t="str">
        <f t="shared" si="8"/>
        <v>Churn Risk</v>
      </c>
    </row>
    <row r="158" spans="1:11" x14ac:dyDescent="0.3">
      <c r="A158">
        <v>97</v>
      </c>
      <c r="B158" s="2">
        <v>45786</v>
      </c>
      <c r="C158" t="str">
        <f>VLOOKUP(D158, Member_Master!A:B, 2, FALSE)</f>
        <v>M049</v>
      </c>
      <c r="D158" t="s">
        <v>56</v>
      </c>
      <c r="E158">
        <v>1000</v>
      </c>
      <c r="F158" t="str">
        <f t="shared" si="6"/>
        <v>Monthly</v>
      </c>
      <c r="G158" t="s">
        <v>9</v>
      </c>
      <c r="H158" t="s">
        <v>7</v>
      </c>
      <c r="I158" s="2">
        <v>45778</v>
      </c>
      <c r="J158" s="2">
        <f t="shared" si="7"/>
        <v>45816</v>
      </c>
      <c r="K158" t="str">
        <f t="shared" si="8"/>
        <v>Churn Risk</v>
      </c>
    </row>
    <row r="159" spans="1:11" x14ac:dyDescent="0.3">
      <c r="A159">
        <v>163</v>
      </c>
      <c r="B159" s="2">
        <v>45786</v>
      </c>
      <c r="C159" t="str">
        <f>VLOOKUP(D159, Member_Master!A:B, 2, FALSE)</f>
        <v>M077</v>
      </c>
      <c r="D159" t="s">
        <v>84</v>
      </c>
      <c r="E159">
        <v>3000</v>
      </c>
      <c r="F159" t="str">
        <f t="shared" si="6"/>
        <v>3 Months</v>
      </c>
      <c r="G159" t="s">
        <v>6</v>
      </c>
      <c r="H159" t="s">
        <v>467</v>
      </c>
      <c r="I159" s="2">
        <v>45778</v>
      </c>
      <c r="J159" s="2">
        <f t="shared" si="7"/>
        <v>45876</v>
      </c>
      <c r="K159" t="str">
        <f t="shared" si="8"/>
        <v>At Risk</v>
      </c>
    </row>
    <row r="160" spans="1:11" x14ac:dyDescent="0.3">
      <c r="A160">
        <v>315</v>
      </c>
      <c r="B160" s="2">
        <v>45786</v>
      </c>
      <c r="C160" t="str">
        <f>VLOOKUP(D160, Member_Master!A:B, 2, FALSE)</f>
        <v>M165</v>
      </c>
      <c r="D160" t="s">
        <v>172</v>
      </c>
      <c r="E160">
        <v>1000</v>
      </c>
      <c r="F160" t="str">
        <f t="shared" si="6"/>
        <v>Monthly</v>
      </c>
      <c r="G160" t="s">
        <v>6</v>
      </c>
      <c r="H160" t="s">
        <v>7</v>
      </c>
      <c r="I160" s="2">
        <v>45778</v>
      </c>
      <c r="J160" s="2">
        <f t="shared" si="7"/>
        <v>45816</v>
      </c>
      <c r="K160" t="str">
        <f t="shared" si="8"/>
        <v>Churn Risk</v>
      </c>
    </row>
    <row r="161" spans="1:11" x14ac:dyDescent="0.3">
      <c r="A161">
        <v>50</v>
      </c>
      <c r="B161" s="2">
        <v>45789</v>
      </c>
      <c r="C161" t="str">
        <f>VLOOKUP(D161, Member_Master!A:B, 2, FALSE)</f>
        <v>M027</v>
      </c>
      <c r="D161" t="s">
        <v>34</v>
      </c>
      <c r="E161">
        <v>1000</v>
      </c>
      <c r="F161" t="str">
        <f t="shared" si="6"/>
        <v>Monthly</v>
      </c>
      <c r="G161" t="s">
        <v>6</v>
      </c>
      <c r="H161" t="s">
        <v>7</v>
      </c>
      <c r="I161" s="2">
        <v>45778</v>
      </c>
      <c r="J161" s="2">
        <f t="shared" si="7"/>
        <v>45819</v>
      </c>
      <c r="K161" t="str">
        <f t="shared" si="8"/>
        <v>Churn Risk</v>
      </c>
    </row>
    <row r="162" spans="1:11" x14ac:dyDescent="0.3">
      <c r="A162">
        <v>196</v>
      </c>
      <c r="B162" s="2">
        <v>45789</v>
      </c>
      <c r="C162" t="str">
        <f>VLOOKUP(D162, Member_Master!A:B, 2, FALSE)</f>
        <v>M092</v>
      </c>
      <c r="D162" t="s">
        <v>99</v>
      </c>
      <c r="E162">
        <v>1000</v>
      </c>
      <c r="F162" t="str">
        <f t="shared" si="6"/>
        <v>Monthly</v>
      </c>
      <c r="G162" t="s">
        <v>9</v>
      </c>
      <c r="H162" t="s">
        <v>7</v>
      </c>
      <c r="I162" s="2">
        <v>45778</v>
      </c>
      <c r="J162" s="2">
        <f t="shared" si="7"/>
        <v>45819</v>
      </c>
      <c r="K162" t="str">
        <f t="shared" si="8"/>
        <v>Churn Risk</v>
      </c>
    </row>
    <row r="163" spans="1:11" x14ac:dyDescent="0.3">
      <c r="A163">
        <v>238</v>
      </c>
      <c r="B163" s="2">
        <v>45789</v>
      </c>
      <c r="C163" t="str">
        <f>VLOOKUP(D163, Member_Master!A:B, 2, FALSE)</f>
        <v>M115</v>
      </c>
      <c r="D163" t="s">
        <v>122</v>
      </c>
      <c r="E163">
        <v>2000</v>
      </c>
      <c r="F163" t="str">
        <f t="shared" si="6"/>
        <v>Monthly</v>
      </c>
      <c r="G163" t="s">
        <v>9</v>
      </c>
      <c r="H163" t="s">
        <v>7</v>
      </c>
      <c r="I163" s="2">
        <v>45778</v>
      </c>
      <c r="J163" s="2">
        <f t="shared" si="7"/>
        <v>45819</v>
      </c>
      <c r="K163" t="str">
        <f t="shared" si="8"/>
        <v>Churn Risk</v>
      </c>
    </row>
    <row r="164" spans="1:11" x14ac:dyDescent="0.3">
      <c r="A164">
        <v>242</v>
      </c>
      <c r="B164" s="2">
        <v>45790</v>
      </c>
      <c r="C164" t="str">
        <f>VLOOKUP(D164, Member_Master!A:B, 2, FALSE)</f>
        <v>M117</v>
      </c>
      <c r="D164" t="s">
        <v>124</v>
      </c>
      <c r="E164">
        <v>1000</v>
      </c>
      <c r="F164" t="str">
        <f t="shared" si="6"/>
        <v>Monthly</v>
      </c>
      <c r="G164" t="s">
        <v>9</v>
      </c>
      <c r="H164" t="s">
        <v>7</v>
      </c>
      <c r="I164" s="2">
        <v>45778</v>
      </c>
      <c r="J164" s="2">
        <f t="shared" si="7"/>
        <v>45820</v>
      </c>
      <c r="K164" t="str">
        <f t="shared" si="8"/>
        <v>Churn Risk</v>
      </c>
    </row>
    <row r="165" spans="1:11" x14ac:dyDescent="0.3">
      <c r="A165">
        <v>54</v>
      </c>
      <c r="B165" s="2">
        <v>45791</v>
      </c>
      <c r="C165" t="str">
        <f>VLOOKUP(D165, Member_Master!A:B, 2, FALSE)</f>
        <v>M028</v>
      </c>
      <c r="D165" t="s">
        <v>35</v>
      </c>
      <c r="E165">
        <v>1000</v>
      </c>
      <c r="F165" t="str">
        <f t="shared" si="6"/>
        <v>Monthly</v>
      </c>
      <c r="G165" t="s">
        <v>9</v>
      </c>
      <c r="H165" t="s">
        <v>7</v>
      </c>
      <c r="I165" s="2">
        <v>45778</v>
      </c>
      <c r="J165" s="2">
        <f t="shared" si="7"/>
        <v>45821</v>
      </c>
      <c r="K165" t="str">
        <f t="shared" si="8"/>
        <v>Churn Risk</v>
      </c>
    </row>
    <row r="166" spans="1:11" x14ac:dyDescent="0.3">
      <c r="A166">
        <v>102</v>
      </c>
      <c r="B166" s="2">
        <v>45791</v>
      </c>
      <c r="C166" t="str">
        <f>VLOOKUP(D166, Member_Master!A:B, 2, FALSE)</f>
        <v>M051</v>
      </c>
      <c r="D166" t="s">
        <v>58</v>
      </c>
      <c r="E166">
        <v>800</v>
      </c>
      <c r="F166" t="str">
        <f t="shared" si="6"/>
        <v>Monthly</v>
      </c>
      <c r="G166" t="s">
        <v>9</v>
      </c>
      <c r="H166" t="s">
        <v>7</v>
      </c>
      <c r="I166" s="2">
        <v>45778</v>
      </c>
      <c r="J166" s="2">
        <f t="shared" si="7"/>
        <v>45821</v>
      </c>
      <c r="K166" t="str">
        <f t="shared" si="8"/>
        <v>Churn Risk</v>
      </c>
    </row>
    <row r="167" spans="1:11" x14ac:dyDescent="0.3">
      <c r="A167">
        <v>266</v>
      </c>
      <c r="B167" s="2">
        <v>45791</v>
      </c>
      <c r="C167" t="str">
        <f>VLOOKUP(D167, Member_Master!A:B, 2, FALSE)</f>
        <v>M129</v>
      </c>
      <c r="D167" t="s">
        <v>136</v>
      </c>
      <c r="E167">
        <v>1000</v>
      </c>
      <c r="F167" t="str">
        <f t="shared" si="6"/>
        <v>Monthly</v>
      </c>
      <c r="G167" t="s">
        <v>9</v>
      </c>
      <c r="H167" t="s">
        <v>7</v>
      </c>
      <c r="I167" s="2">
        <v>45778</v>
      </c>
      <c r="J167" s="2">
        <f t="shared" si="7"/>
        <v>45821</v>
      </c>
      <c r="K167" t="str">
        <f t="shared" si="8"/>
        <v>Churn Risk</v>
      </c>
    </row>
    <row r="168" spans="1:11" x14ac:dyDescent="0.3">
      <c r="A168">
        <v>304</v>
      </c>
      <c r="B168" s="2">
        <v>45791</v>
      </c>
      <c r="C168" t="str">
        <f>VLOOKUP(D168, Member_Master!A:B, 2, FALSE)</f>
        <v>M156</v>
      </c>
      <c r="D168" t="s">
        <v>163</v>
      </c>
      <c r="E168">
        <v>1000</v>
      </c>
      <c r="F168" t="str">
        <f t="shared" si="6"/>
        <v>Monthly</v>
      </c>
      <c r="G168" t="s">
        <v>9</v>
      </c>
      <c r="H168" t="s">
        <v>7</v>
      </c>
      <c r="I168" s="2">
        <v>45778</v>
      </c>
      <c r="J168" s="2">
        <f t="shared" si="7"/>
        <v>45821</v>
      </c>
      <c r="K168" t="str">
        <f t="shared" si="8"/>
        <v>Churn Risk</v>
      </c>
    </row>
    <row r="169" spans="1:11" x14ac:dyDescent="0.3">
      <c r="A169">
        <v>49</v>
      </c>
      <c r="B169" s="2">
        <v>45792</v>
      </c>
      <c r="C169" t="str">
        <f>VLOOKUP(D169, Member_Master!A:B, 2, FALSE)</f>
        <v>M026</v>
      </c>
      <c r="D169" t="s">
        <v>33</v>
      </c>
      <c r="E169">
        <v>1000</v>
      </c>
      <c r="F169" t="str">
        <f t="shared" si="6"/>
        <v>Monthly</v>
      </c>
      <c r="G169" t="s">
        <v>9</v>
      </c>
      <c r="H169" t="s">
        <v>7</v>
      </c>
      <c r="I169" s="2">
        <v>45778</v>
      </c>
      <c r="J169" s="2">
        <f t="shared" si="7"/>
        <v>45822</v>
      </c>
      <c r="K169" t="str">
        <f t="shared" si="8"/>
        <v>Churn Risk</v>
      </c>
    </row>
    <row r="170" spans="1:11" x14ac:dyDescent="0.3">
      <c r="A170">
        <v>124</v>
      </c>
      <c r="B170" s="2">
        <v>45792</v>
      </c>
      <c r="C170" t="str">
        <f>VLOOKUP(D170, Member_Master!A:B, 2, FALSE)</f>
        <v>M065</v>
      </c>
      <c r="D170" t="s">
        <v>72</v>
      </c>
      <c r="E170">
        <v>1000</v>
      </c>
      <c r="F170" t="str">
        <f t="shared" si="6"/>
        <v>Monthly</v>
      </c>
      <c r="G170" t="s">
        <v>6</v>
      </c>
      <c r="H170" t="s">
        <v>7</v>
      </c>
      <c r="I170" s="2">
        <v>45778</v>
      </c>
      <c r="J170" s="2">
        <f t="shared" si="7"/>
        <v>45822</v>
      </c>
      <c r="K170" t="str">
        <f t="shared" si="8"/>
        <v>Churn Risk</v>
      </c>
    </row>
    <row r="171" spans="1:11" x14ac:dyDescent="0.3">
      <c r="A171">
        <v>31</v>
      </c>
      <c r="B171" s="2">
        <v>45793</v>
      </c>
      <c r="C171" t="str">
        <f>VLOOKUP(D171, Member_Master!A:B, 2, FALSE)</f>
        <v>M015</v>
      </c>
      <c r="D171" t="s">
        <v>22</v>
      </c>
      <c r="E171">
        <v>1000</v>
      </c>
      <c r="F171" t="str">
        <f t="shared" si="6"/>
        <v>Monthly</v>
      </c>
      <c r="G171" t="s">
        <v>9</v>
      </c>
      <c r="H171" t="s">
        <v>7</v>
      </c>
      <c r="I171" s="2">
        <v>45778</v>
      </c>
      <c r="J171" s="2">
        <f t="shared" si="7"/>
        <v>45823</v>
      </c>
      <c r="K171" t="str">
        <f t="shared" si="8"/>
        <v>Churn Risk</v>
      </c>
    </row>
    <row r="172" spans="1:11" x14ac:dyDescent="0.3">
      <c r="A172">
        <v>148</v>
      </c>
      <c r="B172" s="2">
        <v>45794</v>
      </c>
      <c r="C172" t="str">
        <f>VLOOKUP(D172, Member_Master!A:B, 2, FALSE)</f>
        <v>M071</v>
      </c>
      <c r="D172" t="s">
        <v>78</v>
      </c>
      <c r="E172">
        <v>2000</v>
      </c>
      <c r="F172" t="str">
        <f t="shared" si="6"/>
        <v>Monthly</v>
      </c>
      <c r="G172" t="s">
        <v>9</v>
      </c>
      <c r="H172" t="s">
        <v>467</v>
      </c>
      <c r="I172" s="2">
        <v>45778</v>
      </c>
      <c r="J172" s="2">
        <f t="shared" si="7"/>
        <v>45824</v>
      </c>
      <c r="K172" t="str">
        <f t="shared" si="8"/>
        <v>Churn Risk</v>
      </c>
    </row>
    <row r="173" spans="1:11" x14ac:dyDescent="0.3">
      <c r="A173">
        <v>27</v>
      </c>
      <c r="B173" s="2">
        <v>45796</v>
      </c>
      <c r="C173" t="str">
        <f>VLOOKUP(D173, Member_Master!A:B, 2, FALSE)</f>
        <v>M014</v>
      </c>
      <c r="D173" t="s">
        <v>21</v>
      </c>
      <c r="E173">
        <v>1000</v>
      </c>
      <c r="F173" t="str">
        <f t="shared" si="6"/>
        <v>Monthly</v>
      </c>
      <c r="G173" t="s">
        <v>6</v>
      </c>
      <c r="H173" t="s">
        <v>7</v>
      </c>
      <c r="I173" s="2">
        <v>45778</v>
      </c>
      <c r="J173" s="2">
        <f t="shared" si="7"/>
        <v>45826</v>
      </c>
      <c r="K173" t="str">
        <f t="shared" si="8"/>
        <v>Churn Risk</v>
      </c>
    </row>
    <row r="174" spans="1:11" x14ac:dyDescent="0.3">
      <c r="A174">
        <v>41</v>
      </c>
      <c r="B174" s="2">
        <v>45796</v>
      </c>
      <c r="C174" t="str">
        <f>VLOOKUP(D174, Member_Master!A:B, 2, FALSE)</f>
        <v>M020</v>
      </c>
      <c r="D174" t="s">
        <v>27</v>
      </c>
      <c r="E174">
        <v>700</v>
      </c>
      <c r="F174" t="str">
        <f t="shared" si="6"/>
        <v>Monthly</v>
      </c>
      <c r="G174" t="s">
        <v>9</v>
      </c>
      <c r="H174" t="s">
        <v>7</v>
      </c>
      <c r="I174" s="2">
        <v>45778</v>
      </c>
      <c r="J174" s="2">
        <f t="shared" si="7"/>
        <v>45826</v>
      </c>
      <c r="K174" t="str">
        <f t="shared" si="8"/>
        <v>Churn Risk</v>
      </c>
    </row>
    <row r="175" spans="1:11" x14ac:dyDescent="0.3">
      <c r="A175">
        <v>81</v>
      </c>
      <c r="B175" s="2">
        <v>45796</v>
      </c>
      <c r="C175" t="str">
        <f>VLOOKUP(D175, Member_Master!A:B, 2, FALSE)</f>
        <v>M038</v>
      </c>
      <c r="D175" t="s">
        <v>45</v>
      </c>
      <c r="E175">
        <v>1000</v>
      </c>
      <c r="F175" t="str">
        <f t="shared" si="6"/>
        <v>Monthly</v>
      </c>
      <c r="G175" t="s">
        <v>6</v>
      </c>
      <c r="H175" t="s">
        <v>7</v>
      </c>
      <c r="I175" s="2">
        <v>45778</v>
      </c>
      <c r="J175" s="2">
        <f t="shared" si="7"/>
        <v>45826</v>
      </c>
      <c r="K175" t="str">
        <f t="shared" si="8"/>
        <v>Churn Risk</v>
      </c>
    </row>
    <row r="176" spans="1:11" x14ac:dyDescent="0.3">
      <c r="A176">
        <v>276</v>
      </c>
      <c r="B176" s="2">
        <v>45796</v>
      </c>
      <c r="C176" t="str">
        <f>VLOOKUP(D176, Member_Master!A:B, 2, FALSE)</f>
        <v>M137</v>
      </c>
      <c r="D176" t="s">
        <v>144</v>
      </c>
      <c r="E176">
        <v>800</v>
      </c>
      <c r="F176" t="str">
        <f t="shared" si="6"/>
        <v>Monthly</v>
      </c>
      <c r="G176" t="s">
        <v>6</v>
      </c>
      <c r="H176" t="s">
        <v>7</v>
      </c>
      <c r="I176" s="2">
        <v>45778</v>
      </c>
      <c r="J176" s="2">
        <f t="shared" si="7"/>
        <v>45826</v>
      </c>
      <c r="K176" t="str">
        <f t="shared" si="8"/>
        <v>Churn Risk</v>
      </c>
    </row>
    <row r="177" spans="1:11" x14ac:dyDescent="0.3">
      <c r="A177">
        <v>376</v>
      </c>
      <c r="B177" s="2">
        <v>45796</v>
      </c>
      <c r="C177" t="str">
        <f>VLOOKUP(D177, Member_Master!A:B, 2, FALSE)</f>
        <v>M200</v>
      </c>
      <c r="D177" t="s">
        <v>207</v>
      </c>
      <c r="E177">
        <v>1000</v>
      </c>
      <c r="F177" t="str">
        <f t="shared" si="6"/>
        <v>Monthly</v>
      </c>
      <c r="G177" t="s">
        <v>6</v>
      </c>
      <c r="H177" t="s">
        <v>7</v>
      </c>
      <c r="I177" s="2">
        <v>45778</v>
      </c>
      <c r="J177" s="2">
        <f t="shared" si="7"/>
        <v>45826</v>
      </c>
      <c r="K177" t="str">
        <f t="shared" si="8"/>
        <v>Churn Risk</v>
      </c>
    </row>
    <row r="178" spans="1:11" x14ac:dyDescent="0.3">
      <c r="A178">
        <v>278</v>
      </c>
      <c r="B178" s="2">
        <v>45797</v>
      </c>
      <c r="C178" t="str">
        <f>VLOOKUP(D178, Member_Master!A:B, 2, FALSE)</f>
        <v>M138</v>
      </c>
      <c r="D178" t="s">
        <v>145</v>
      </c>
      <c r="E178">
        <v>1000</v>
      </c>
      <c r="F178" t="str">
        <f t="shared" si="6"/>
        <v>Monthly</v>
      </c>
      <c r="G178" t="s">
        <v>6</v>
      </c>
      <c r="H178" t="s">
        <v>7</v>
      </c>
      <c r="I178" s="2">
        <v>45778</v>
      </c>
      <c r="J178" s="2">
        <f t="shared" si="7"/>
        <v>45827</v>
      </c>
      <c r="K178" t="str">
        <f t="shared" si="8"/>
        <v>Churn Risk</v>
      </c>
    </row>
    <row r="179" spans="1:11" x14ac:dyDescent="0.3">
      <c r="A179">
        <v>294</v>
      </c>
      <c r="B179" s="2">
        <v>45798</v>
      </c>
      <c r="C179" t="str">
        <f>VLOOKUP(D179, Member_Master!A:B, 2, FALSE)</f>
        <v>M148</v>
      </c>
      <c r="D179" t="s">
        <v>155</v>
      </c>
      <c r="E179">
        <v>1000</v>
      </c>
      <c r="F179" t="str">
        <f t="shared" si="6"/>
        <v>Monthly</v>
      </c>
      <c r="G179" t="s">
        <v>9</v>
      </c>
      <c r="H179" t="s">
        <v>7</v>
      </c>
      <c r="I179" s="2">
        <v>45778</v>
      </c>
      <c r="J179" s="2">
        <f t="shared" si="7"/>
        <v>45828</v>
      </c>
      <c r="K179" t="str">
        <f t="shared" si="8"/>
        <v>Churn Risk</v>
      </c>
    </row>
    <row r="180" spans="1:11" x14ac:dyDescent="0.3">
      <c r="A180">
        <v>373</v>
      </c>
      <c r="B180" s="2">
        <v>45798</v>
      </c>
      <c r="C180" t="str">
        <f>VLOOKUP(D180, Member_Master!A:B, 2, FALSE)</f>
        <v>M198</v>
      </c>
      <c r="D180" t="s">
        <v>205</v>
      </c>
      <c r="E180">
        <v>1000</v>
      </c>
      <c r="F180" t="str">
        <f t="shared" si="6"/>
        <v>Monthly</v>
      </c>
      <c r="G180" t="s">
        <v>9</v>
      </c>
      <c r="H180" t="s">
        <v>7</v>
      </c>
      <c r="I180" s="2">
        <v>45778</v>
      </c>
      <c r="J180" s="2">
        <f t="shared" si="7"/>
        <v>45828</v>
      </c>
      <c r="K180" t="str">
        <f t="shared" si="8"/>
        <v>Churn Risk</v>
      </c>
    </row>
    <row r="181" spans="1:11" x14ac:dyDescent="0.3">
      <c r="A181">
        <v>143</v>
      </c>
      <c r="B181" s="2">
        <v>45799</v>
      </c>
      <c r="C181" t="str">
        <f>VLOOKUP(D181, Member_Master!A:B, 2, FALSE)</f>
        <v>M070</v>
      </c>
      <c r="D181" t="s">
        <v>77</v>
      </c>
      <c r="E181">
        <v>1000</v>
      </c>
      <c r="F181" t="str">
        <f t="shared" si="6"/>
        <v>Monthly</v>
      </c>
      <c r="G181" t="s">
        <v>9</v>
      </c>
      <c r="H181" t="s">
        <v>7</v>
      </c>
      <c r="I181" s="2">
        <v>45778</v>
      </c>
      <c r="J181" s="2">
        <f t="shared" si="7"/>
        <v>45829</v>
      </c>
      <c r="K181" t="str">
        <f t="shared" si="8"/>
        <v>Churn Risk</v>
      </c>
    </row>
    <row r="182" spans="1:11" x14ac:dyDescent="0.3">
      <c r="A182">
        <v>208</v>
      </c>
      <c r="B182" s="2">
        <v>45799</v>
      </c>
      <c r="C182" t="str">
        <f>VLOOKUP(D182, Member_Master!A:B, 2, FALSE)</f>
        <v>M100</v>
      </c>
      <c r="D182" t="s">
        <v>107</v>
      </c>
      <c r="E182">
        <v>1000</v>
      </c>
      <c r="F182" t="str">
        <f t="shared" si="6"/>
        <v>Monthly</v>
      </c>
      <c r="G182" t="s">
        <v>6</v>
      </c>
      <c r="H182" t="s">
        <v>7</v>
      </c>
      <c r="I182" s="2">
        <v>45778</v>
      </c>
      <c r="J182" s="2">
        <f t="shared" si="7"/>
        <v>45829</v>
      </c>
      <c r="K182" t="str">
        <f t="shared" si="8"/>
        <v>Churn Risk</v>
      </c>
    </row>
    <row r="183" spans="1:11" x14ac:dyDescent="0.3">
      <c r="A183">
        <v>332</v>
      </c>
      <c r="B183" s="2">
        <v>45799</v>
      </c>
      <c r="C183" t="str">
        <f>VLOOKUP(D183, Member_Master!A:B, 2, FALSE)</f>
        <v>M177</v>
      </c>
      <c r="D183" t="s">
        <v>184</v>
      </c>
      <c r="E183">
        <v>500</v>
      </c>
      <c r="F183" t="str">
        <f t="shared" si="6"/>
        <v>Monthly</v>
      </c>
      <c r="G183" t="s">
        <v>6</v>
      </c>
      <c r="H183" t="s">
        <v>7</v>
      </c>
      <c r="I183" s="2">
        <v>45778</v>
      </c>
      <c r="J183" s="2">
        <f t="shared" si="7"/>
        <v>45829</v>
      </c>
      <c r="K183" t="str">
        <f t="shared" si="8"/>
        <v>Churn Risk</v>
      </c>
    </row>
    <row r="184" spans="1:11" x14ac:dyDescent="0.3">
      <c r="A184">
        <v>130</v>
      </c>
      <c r="B184" s="2">
        <v>45800</v>
      </c>
      <c r="C184" t="str">
        <f>VLOOKUP(D184, Member_Master!A:B, 2, FALSE)</f>
        <v>M067</v>
      </c>
      <c r="D184" t="s">
        <v>74</v>
      </c>
      <c r="E184">
        <v>1000</v>
      </c>
      <c r="F184" t="str">
        <f t="shared" si="6"/>
        <v>Monthly</v>
      </c>
      <c r="G184" t="s">
        <v>9</v>
      </c>
      <c r="H184" t="s">
        <v>7</v>
      </c>
      <c r="I184" s="2">
        <v>45778</v>
      </c>
      <c r="J184" s="2">
        <f t="shared" si="7"/>
        <v>45830</v>
      </c>
      <c r="K184" t="str">
        <f t="shared" si="8"/>
        <v>Churn Risk</v>
      </c>
    </row>
    <row r="185" spans="1:11" x14ac:dyDescent="0.3">
      <c r="A185">
        <v>186</v>
      </c>
      <c r="B185" s="2">
        <v>45800</v>
      </c>
      <c r="C185" t="str">
        <f>VLOOKUP(D185, Member_Master!A:B, 2, FALSE)</f>
        <v>M085</v>
      </c>
      <c r="D185" t="s">
        <v>92</v>
      </c>
      <c r="E185">
        <v>1000</v>
      </c>
      <c r="F185" t="str">
        <f t="shared" si="6"/>
        <v>Monthly</v>
      </c>
      <c r="G185" t="s">
        <v>9</v>
      </c>
      <c r="H185" t="s">
        <v>7</v>
      </c>
      <c r="I185" s="2">
        <v>45778</v>
      </c>
      <c r="J185" s="2">
        <f t="shared" si="7"/>
        <v>45830</v>
      </c>
      <c r="K185" t="str">
        <f t="shared" si="8"/>
        <v>Churn Risk</v>
      </c>
    </row>
    <row r="186" spans="1:11" x14ac:dyDescent="0.3">
      <c r="A186">
        <v>249</v>
      </c>
      <c r="B186" s="2">
        <v>45803</v>
      </c>
      <c r="C186" t="str">
        <f>VLOOKUP(D186, Member_Master!A:B, 2, FALSE)</f>
        <v>M120</v>
      </c>
      <c r="D186" t="s">
        <v>127</v>
      </c>
      <c r="E186">
        <v>1000</v>
      </c>
      <c r="F186" t="str">
        <f t="shared" si="6"/>
        <v>Monthly</v>
      </c>
      <c r="G186" t="s">
        <v>9</v>
      </c>
      <c r="H186" t="s">
        <v>7</v>
      </c>
      <c r="I186" s="2">
        <v>45778</v>
      </c>
      <c r="J186" s="2">
        <f t="shared" si="7"/>
        <v>45833</v>
      </c>
      <c r="K186" t="str">
        <f t="shared" si="8"/>
        <v>Churn Risk</v>
      </c>
    </row>
    <row r="187" spans="1:11" x14ac:dyDescent="0.3">
      <c r="A187">
        <v>250</v>
      </c>
      <c r="B187" s="2">
        <v>45805</v>
      </c>
      <c r="C187" t="str">
        <f>VLOOKUP(D187, Member_Master!A:B, 2, FALSE)</f>
        <v>M121</v>
      </c>
      <c r="D187" t="s">
        <v>128</v>
      </c>
      <c r="E187">
        <v>700</v>
      </c>
      <c r="F187" t="str">
        <f t="shared" si="6"/>
        <v>Monthly</v>
      </c>
      <c r="G187" t="s">
        <v>6</v>
      </c>
      <c r="H187" t="s">
        <v>7</v>
      </c>
      <c r="I187" s="2">
        <v>45778</v>
      </c>
      <c r="J187" s="2">
        <f t="shared" si="7"/>
        <v>45835</v>
      </c>
      <c r="K187" t="str">
        <f t="shared" si="8"/>
        <v>Churn Risk</v>
      </c>
    </row>
    <row r="188" spans="1:11" x14ac:dyDescent="0.3">
      <c r="A188">
        <v>16</v>
      </c>
      <c r="B188" s="2">
        <v>45810</v>
      </c>
      <c r="C188" t="str">
        <f>VLOOKUP(D188, Member_Master!A:B, 2, FALSE)</f>
        <v>M010</v>
      </c>
      <c r="D188" t="s">
        <v>17</v>
      </c>
      <c r="E188">
        <v>2400</v>
      </c>
      <c r="F188" t="str">
        <f t="shared" si="6"/>
        <v>3 Months</v>
      </c>
      <c r="G188" t="s">
        <v>9</v>
      </c>
      <c r="H188" t="s">
        <v>7</v>
      </c>
      <c r="I188" s="2">
        <v>45809</v>
      </c>
      <c r="J188" s="2">
        <f t="shared" si="7"/>
        <v>45900</v>
      </c>
      <c r="K188" t="str">
        <f t="shared" si="8"/>
        <v>Active</v>
      </c>
    </row>
    <row r="189" spans="1:11" x14ac:dyDescent="0.3">
      <c r="A189">
        <v>120</v>
      </c>
      <c r="B189" s="2">
        <v>45810</v>
      </c>
      <c r="C189" t="str">
        <f>VLOOKUP(D189, Member_Master!A:B, 2, FALSE)</f>
        <v>M063</v>
      </c>
      <c r="D189" t="s">
        <v>70</v>
      </c>
      <c r="E189">
        <v>1000</v>
      </c>
      <c r="F189" t="str">
        <f t="shared" si="6"/>
        <v>Monthly</v>
      </c>
      <c r="G189" t="s">
        <v>6</v>
      </c>
      <c r="H189" t="s">
        <v>7</v>
      </c>
      <c r="I189" s="2">
        <v>45809</v>
      </c>
      <c r="J189" s="2">
        <f t="shared" si="7"/>
        <v>45840</v>
      </c>
      <c r="K189" t="str">
        <f t="shared" si="8"/>
        <v>Churn Risk</v>
      </c>
    </row>
    <row r="190" spans="1:11" x14ac:dyDescent="0.3">
      <c r="A190">
        <v>302</v>
      </c>
      <c r="B190" s="2">
        <v>45810</v>
      </c>
      <c r="C190" t="str">
        <f>VLOOKUP(D190, Member_Master!A:B, 2, FALSE)</f>
        <v>M155</v>
      </c>
      <c r="D190" t="s">
        <v>162</v>
      </c>
      <c r="E190">
        <v>1000</v>
      </c>
      <c r="F190" t="str">
        <f t="shared" si="6"/>
        <v>Monthly</v>
      </c>
      <c r="G190" t="s">
        <v>9</v>
      </c>
      <c r="H190" t="s">
        <v>7</v>
      </c>
      <c r="I190" s="2">
        <v>45809</v>
      </c>
      <c r="J190" s="2">
        <f t="shared" si="7"/>
        <v>45840</v>
      </c>
      <c r="K190" t="str">
        <f t="shared" si="8"/>
        <v>Churn Risk</v>
      </c>
    </row>
    <row r="191" spans="1:11" x14ac:dyDescent="0.3">
      <c r="A191">
        <v>56</v>
      </c>
      <c r="B191" s="2">
        <v>45811</v>
      </c>
      <c r="C191" t="str">
        <f>VLOOKUP(D191, Member_Master!A:B, 2, FALSE)</f>
        <v>M030</v>
      </c>
      <c r="D191" t="s">
        <v>37</v>
      </c>
      <c r="E191">
        <v>1000</v>
      </c>
      <c r="F191" t="str">
        <f t="shared" si="6"/>
        <v>Monthly</v>
      </c>
      <c r="G191" t="s">
        <v>6</v>
      </c>
      <c r="H191" t="s">
        <v>7</v>
      </c>
      <c r="I191" s="2">
        <v>45809</v>
      </c>
      <c r="J191" s="2">
        <f t="shared" si="7"/>
        <v>45841</v>
      </c>
      <c r="K191" t="str">
        <f t="shared" si="8"/>
        <v>Churn Risk</v>
      </c>
    </row>
    <row r="192" spans="1:11" x14ac:dyDescent="0.3">
      <c r="A192">
        <v>83</v>
      </c>
      <c r="B192" s="2">
        <v>45811</v>
      </c>
      <c r="C192" t="str">
        <f>VLOOKUP(D192, Member_Master!A:B, 2, FALSE)</f>
        <v>M039</v>
      </c>
      <c r="D192" t="s">
        <v>46</v>
      </c>
      <c r="E192">
        <v>3000</v>
      </c>
      <c r="F192" t="str">
        <f t="shared" si="6"/>
        <v>3 Months</v>
      </c>
      <c r="G192" t="s">
        <v>9</v>
      </c>
      <c r="H192" t="s">
        <v>467</v>
      </c>
      <c r="I192" s="2">
        <v>45809</v>
      </c>
      <c r="J192" s="2">
        <f t="shared" si="7"/>
        <v>45901</v>
      </c>
      <c r="K192" t="str">
        <f t="shared" si="8"/>
        <v>Active</v>
      </c>
    </row>
    <row r="193" spans="1:11" x14ac:dyDescent="0.3">
      <c r="A193">
        <v>167</v>
      </c>
      <c r="B193" s="2">
        <v>45811</v>
      </c>
      <c r="C193" t="str">
        <f>VLOOKUP(D193, Member_Master!A:B, 2, FALSE)</f>
        <v>M080</v>
      </c>
      <c r="D193" t="s">
        <v>87</v>
      </c>
      <c r="E193">
        <v>1000</v>
      </c>
      <c r="F193" t="str">
        <f t="shared" si="6"/>
        <v>Monthly</v>
      </c>
      <c r="G193" t="s">
        <v>6</v>
      </c>
      <c r="H193" t="s">
        <v>7</v>
      </c>
      <c r="I193" s="2">
        <v>45809</v>
      </c>
      <c r="J193" s="2">
        <f t="shared" si="7"/>
        <v>45841</v>
      </c>
      <c r="K193" t="str">
        <f t="shared" si="8"/>
        <v>Churn Risk</v>
      </c>
    </row>
    <row r="194" spans="1:11" x14ac:dyDescent="0.3">
      <c r="A194">
        <v>356</v>
      </c>
      <c r="B194" s="2">
        <v>45811</v>
      </c>
      <c r="C194" t="str">
        <f>VLOOKUP(D194, Member_Master!A:B, 2, FALSE)</f>
        <v>M190</v>
      </c>
      <c r="D194" t="s">
        <v>197</v>
      </c>
      <c r="E194">
        <v>1000</v>
      </c>
      <c r="F194" t="str">
        <f t="shared" si="6"/>
        <v>Monthly</v>
      </c>
      <c r="G194" t="s">
        <v>9</v>
      </c>
      <c r="H194" t="s">
        <v>7</v>
      </c>
      <c r="I194" s="2">
        <v>45809</v>
      </c>
      <c r="J194" s="2">
        <f t="shared" si="7"/>
        <v>45841</v>
      </c>
      <c r="K194" t="str">
        <f t="shared" si="8"/>
        <v>Churn Risk</v>
      </c>
    </row>
    <row r="195" spans="1:11" x14ac:dyDescent="0.3">
      <c r="A195">
        <v>365</v>
      </c>
      <c r="B195" s="2">
        <v>45811</v>
      </c>
      <c r="C195" t="str">
        <f>VLOOKUP(D195, Member_Master!A:B, 2, FALSE)</f>
        <v>M197</v>
      </c>
      <c r="D195" t="s">
        <v>204</v>
      </c>
      <c r="E195">
        <v>1000</v>
      </c>
      <c r="F195" t="str">
        <f t="shared" si="6"/>
        <v>Monthly</v>
      </c>
      <c r="G195" t="s">
        <v>9</v>
      </c>
      <c r="H195" t="s">
        <v>7</v>
      </c>
      <c r="I195" s="2">
        <v>45809</v>
      </c>
      <c r="J195" s="2">
        <f t="shared" si="7"/>
        <v>45841</v>
      </c>
      <c r="K195" t="str">
        <f t="shared" si="8"/>
        <v>Churn Risk</v>
      </c>
    </row>
    <row r="196" spans="1:11" x14ac:dyDescent="0.3">
      <c r="A196">
        <v>377</v>
      </c>
      <c r="B196" s="2">
        <v>45811</v>
      </c>
      <c r="C196" t="str">
        <f>VLOOKUP(D196, Member_Master!A:B, 2, FALSE)</f>
        <v>M201</v>
      </c>
      <c r="D196" t="s">
        <v>208</v>
      </c>
      <c r="E196">
        <v>1000</v>
      </c>
      <c r="F196" t="str">
        <f t="shared" ref="F196:F259" si="9">IF(E196&lt;=2200,"Monthly",IF(E196&lt;=4500,"3 Months",
IF(E196&lt;=7000,"6 Months",
"Yearly")))</f>
        <v>Monthly</v>
      </c>
      <c r="G196" t="s">
        <v>9</v>
      </c>
      <c r="H196" t="s">
        <v>7</v>
      </c>
      <c r="I196" s="2">
        <v>45809</v>
      </c>
      <c r="J196" s="2">
        <f t="shared" ref="J196:J259" si="10">IF(F196="Monthly",B196+30,IF(F196="3 Months",B196+90,IF(F196="6 Months",B196+180,IF(F196="Yearly",B196+365,"Check Plan"))))</f>
        <v>45841</v>
      </c>
      <c r="K196" t="str">
        <f t="shared" ref="K196:K259" si="11">IF($N$4&lt;=J196,"Active",IF($N$4-J196&lt;=30,"At Risk","Churn Risk"))</f>
        <v>Churn Risk</v>
      </c>
    </row>
    <row r="197" spans="1:11" x14ac:dyDescent="0.3">
      <c r="A197">
        <v>21</v>
      </c>
      <c r="B197" s="2">
        <v>45812</v>
      </c>
      <c r="C197" t="str">
        <f>VLOOKUP(D197, Member_Master!A:B, 2, FALSE)</f>
        <v>M011</v>
      </c>
      <c r="D197" t="s">
        <v>18</v>
      </c>
      <c r="E197">
        <v>1000</v>
      </c>
      <c r="F197" t="str">
        <f t="shared" si="9"/>
        <v>Monthly</v>
      </c>
      <c r="G197" t="s">
        <v>9</v>
      </c>
      <c r="H197" t="s">
        <v>7</v>
      </c>
      <c r="I197" s="2">
        <v>45809</v>
      </c>
      <c r="J197" s="2">
        <f t="shared" si="10"/>
        <v>45842</v>
      </c>
      <c r="K197" t="str">
        <f t="shared" si="11"/>
        <v>Churn Risk</v>
      </c>
    </row>
    <row r="198" spans="1:11" x14ac:dyDescent="0.3">
      <c r="A198">
        <v>158</v>
      </c>
      <c r="B198" s="2">
        <v>45812</v>
      </c>
      <c r="C198" t="str">
        <f>VLOOKUP(D198, Member_Master!A:B, 2, FALSE)</f>
        <v>M076</v>
      </c>
      <c r="D198" t="s">
        <v>83</v>
      </c>
      <c r="E198">
        <v>3000</v>
      </c>
      <c r="F198" t="str">
        <f t="shared" si="9"/>
        <v>3 Months</v>
      </c>
      <c r="G198" t="s">
        <v>6</v>
      </c>
      <c r="H198" t="s">
        <v>467</v>
      </c>
      <c r="I198" s="2">
        <v>45809</v>
      </c>
      <c r="J198" s="2">
        <f t="shared" si="10"/>
        <v>45902</v>
      </c>
      <c r="K198" t="str">
        <f t="shared" si="11"/>
        <v>Active</v>
      </c>
    </row>
    <row r="199" spans="1:11" x14ac:dyDescent="0.3">
      <c r="A199">
        <v>175</v>
      </c>
      <c r="B199" s="2">
        <v>45812</v>
      </c>
      <c r="C199" t="str">
        <f>VLOOKUP(D199, Member_Master!A:B, 2, FALSE)</f>
        <v>M081</v>
      </c>
      <c r="D199" t="s">
        <v>88</v>
      </c>
      <c r="E199">
        <v>2000</v>
      </c>
      <c r="F199" t="str">
        <f t="shared" si="9"/>
        <v>Monthly</v>
      </c>
      <c r="G199" t="s">
        <v>9</v>
      </c>
      <c r="H199" t="s">
        <v>467</v>
      </c>
      <c r="I199" s="2">
        <v>45809</v>
      </c>
      <c r="J199" s="2">
        <f t="shared" si="10"/>
        <v>45842</v>
      </c>
      <c r="K199" t="str">
        <f t="shared" si="11"/>
        <v>Churn Risk</v>
      </c>
    </row>
    <row r="200" spans="1:11" x14ac:dyDescent="0.3">
      <c r="A200">
        <v>187</v>
      </c>
      <c r="B200" s="2">
        <v>45812</v>
      </c>
      <c r="C200" t="str">
        <f>VLOOKUP(D200, Member_Master!A:B, 2, FALSE)</f>
        <v>M086</v>
      </c>
      <c r="D200" t="s">
        <v>93</v>
      </c>
      <c r="E200">
        <v>1000</v>
      </c>
      <c r="F200" t="str">
        <f t="shared" si="9"/>
        <v>Monthly</v>
      </c>
      <c r="G200" t="s">
        <v>9</v>
      </c>
      <c r="H200" t="s">
        <v>7</v>
      </c>
      <c r="I200" s="2">
        <v>45809</v>
      </c>
      <c r="J200" s="2">
        <f t="shared" si="10"/>
        <v>45842</v>
      </c>
      <c r="K200" t="str">
        <f t="shared" si="11"/>
        <v>Churn Risk</v>
      </c>
    </row>
    <row r="201" spans="1:11" x14ac:dyDescent="0.3">
      <c r="A201">
        <v>191</v>
      </c>
      <c r="B201" s="2">
        <v>45812</v>
      </c>
      <c r="C201" t="str">
        <f>VLOOKUP(D201, Member_Master!A:B, 2, FALSE)</f>
        <v>M088</v>
      </c>
      <c r="D201" t="s">
        <v>95</v>
      </c>
      <c r="E201">
        <v>1000</v>
      </c>
      <c r="F201" t="str">
        <f t="shared" si="9"/>
        <v>Monthly</v>
      </c>
      <c r="G201" t="s">
        <v>6</v>
      </c>
      <c r="H201" t="s">
        <v>7</v>
      </c>
      <c r="I201" s="2">
        <v>45809</v>
      </c>
      <c r="J201" s="2">
        <f t="shared" si="10"/>
        <v>45842</v>
      </c>
      <c r="K201" t="str">
        <f t="shared" si="11"/>
        <v>Churn Risk</v>
      </c>
    </row>
    <row r="202" spans="1:11" x14ac:dyDescent="0.3">
      <c r="A202">
        <v>223</v>
      </c>
      <c r="B202" s="2">
        <v>45812</v>
      </c>
      <c r="C202" t="str">
        <f>VLOOKUP(D202, Member_Master!A:B, 2, FALSE)</f>
        <v>M108</v>
      </c>
      <c r="D202" t="s">
        <v>115</v>
      </c>
      <c r="E202">
        <v>1000</v>
      </c>
      <c r="F202" t="str">
        <f t="shared" si="9"/>
        <v>Monthly</v>
      </c>
      <c r="G202" t="s">
        <v>9</v>
      </c>
      <c r="H202" t="s">
        <v>7</v>
      </c>
      <c r="I202" s="2">
        <v>45809</v>
      </c>
      <c r="J202" s="2">
        <f t="shared" si="10"/>
        <v>45842</v>
      </c>
      <c r="K202" t="str">
        <f t="shared" si="11"/>
        <v>Churn Risk</v>
      </c>
    </row>
    <row r="203" spans="1:11" x14ac:dyDescent="0.3">
      <c r="A203">
        <v>107</v>
      </c>
      <c r="B203" s="2">
        <v>45813</v>
      </c>
      <c r="C203" t="str">
        <f>VLOOKUP(D203, Member_Master!A:B, 2, FALSE)</f>
        <v>M054</v>
      </c>
      <c r="D203" t="s">
        <v>61</v>
      </c>
      <c r="E203">
        <v>1000</v>
      </c>
      <c r="F203" t="str">
        <f t="shared" si="9"/>
        <v>Monthly</v>
      </c>
      <c r="G203" t="s">
        <v>6</v>
      </c>
      <c r="H203" t="s">
        <v>7</v>
      </c>
      <c r="I203" s="2">
        <v>45809</v>
      </c>
      <c r="J203" s="2">
        <f t="shared" si="10"/>
        <v>45843</v>
      </c>
      <c r="K203" t="str">
        <f t="shared" si="11"/>
        <v>Churn Risk</v>
      </c>
    </row>
    <row r="204" spans="1:11" x14ac:dyDescent="0.3">
      <c r="A204">
        <v>280</v>
      </c>
      <c r="B204" s="2">
        <v>45813</v>
      </c>
      <c r="C204" t="str">
        <f>VLOOKUP(D204, Member_Master!A:B, 2, FALSE)</f>
        <v>M139</v>
      </c>
      <c r="D204" t="s">
        <v>146</v>
      </c>
      <c r="E204">
        <v>2000</v>
      </c>
      <c r="F204" t="str">
        <f t="shared" si="9"/>
        <v>Monthly</v>
      </c>
      <c r="G204" t="s">
        <v>9</v>
      </c>
      <c r="H204" t="s">
        <v>467</v>
      </c>
      <c r="I204" s="2">
        <v>45809</v>
      </c>
      <c r="J204" s="2">
        <f t="shared" si="10"/>
        <v>45843</v>
      </c>
      <c r="K204" t="str">
        <f t="shared" si="11"/>
        <v>Churn Risk</v>
      </c>
    </row>
    <row r="205" spans="1:11" x14ac:dyDescent="0.3">
      <c r="A205">
        <v>94</v>
      </c>
      <c r="B205" s="2">
        <v>45814</v>
      </c>
      <c r="C205" t="str">
        <f>VLOOKUP(D205, Member_Master!A:B, 2, FALSE)</f>
        <v>M046</v>
      </c>
      <c r="D205" t="s">
        <v>53</v>
      </c>
      <c r="E205">
        <v>3000</v>
      </c>
      <c r="F205" t="str">
        <f t="shared" si="9"/>
        <v>3 Months</v>
      </c>
      <c r="G205" t="s">
        <v>6</v>
      </c>
      <c r="H205" t="s">
        <v>467</v>
      </c>
      <c r="I205" s="2">
        <v>45809</v>
      </c>
      <c r="J205" s="2">
        <f t="shared" si="10"/>
        <v>45904</v>
      </c>
      <c r="K205" t="str">
        <f t="shared" si="11"/>
        <v>Active</v>
      </c>
    </row>
    <row r="206" spans="1:11" x14ac:dyDescent="0.3">
      <c r="A206">
        <v>114</v>
      </c>
      <c r="B206" s="2">
        <v>45814</v>
      </c>
      <c r="C206" t="str">
        <f>VLOOKUP(D206, Member_Master!A:B, 2, FALSE)</f>
        <v>M059</v>
      </c>
      <c r="D206" t="s">
        <v>66</v>
      </c>
      <c r="E206">
        <v>1000</v>
      </c>
      <c r="F206" t="str">
        <f t="shared" si="9"/>
        <v>Monthly</v>
      </c>
      <c r="G206" t="s">
        <v>9</v>
      </c>
      <c r="H206" t="s">
        <v>7</v>
      </c>
      <c r="I206" s="2">
        <v>45809</v>
      </c>
      <c r="J206" s="2">
        <f t="shared" si="10"/>
        <v>45844</v>
      </c>
      <c r="K206" t="str">
        <f t="shared" si="11"/>
        <v>Churn Risk</v>
      </c>
    </row>
    <row r="207" spans="1:11" x14ac:dyDescent="0.3">
      <c r="A207">
        <v>146</v>
      </c>
      <c r="B207" s="2">
        <v>45814</v>
      </c>
      <c r="C207" t="str">
        <f>VLOOKUP(D207, Member_Master!A:B, 2, FALSE)</f>
        <v>M071</v>
      </c>
      <c r="D207" t="s">
        <v>78</v>
      </c>
      <c r="E207">
        <v>1000</v>
      </c>
      <c r="F207" t="str">
        <f t="shared" si="9"/>
        <v>Monthly</v>
      </c>
      <c r="G207" t="s">
        <v>9</v>
      </c>
      <c r="H207" t="s">
        <v>7</v>
      </c>
      <c r="I207" s="2">
        <v>45809</v>
      </c>
      <c r="J207" s="2">
        <f t="shared" si="10"/>
        <v>45844</v>
      </c>
      <c r="K207" t="str">
        <f t="shared" si="11"/>
        <v>Churn Risk</v>
      </c>
    </row>
    <row r="208" spans="1:11" x14ac:dyDescent="0.3">
      <c r="A208">
        <v>11</v>
      </c>
      <c r="B208" s="2">
        <v>45815</v>
      </c>
      <c r="C208" t="str">
        <f>VLOOKUP(D208, Member_Master!A:B, 2, FALSE)</f>
        <v>M008</v>
      </c>
      <c r="D208" t="s">
        <v>15</v>
      </c>
      <c r="E208">
        <v>1000</v>
      </c>
      <c r="F208" t="str">
        <f t="shared" si="9"/>
        <v>Monthly</v>
      </c>
      <c r="G208" t="s">
        <v>9</v>
      </c>
      <c r="H208" t="s">
        <v>7</v>
      </c>
      <c r="I208" s="2">
        <v>45809</v>
      </c>
      <c r="J208" s="2">
        <f t="shared" si="10"/>
        <v>45845</v>
      </c>
      <c r="K208" t="str">
        <f t="shared" si="11"/>
        <v>Churn Risk</v>
      </c>
    </row>
    <row r="209" spans="1:11" x14ac:dyDescent="0.3">
      <c r="A209">
        <v>128</v>
      </c>
      <c r="B209" s="2">
        <v>45815</v>
      </c>
      <c r="C209" t="str">
        <f>VLOOKUP(D209, Member_Master!A:B, 2, FALSE)</f>
        <v>M066</v>
      </c>
      <c r="D209" t="s">
        <v>73</v>
      </c>
      <c r="E209">
        <v>2400</v>
      </c>
      <c r="F209" t="str">
        <f t="shared" si="9"/>
        <v>3 Months</v>
      </c>
      <c r="G209" t="s">
        <v>9</v>
      </c>
      <c r="H209" t="s">
        <v>7</v>
      </c>
      <c r="I209" s="2">
        <v>45809</v>
      </c>
      <c r="J209" s="2">
        <f t="shared" si="10"/>
        <v>45905</v>
      </c>
      <c r="K209" t="str">
        <f t="shared" si="11"/>
        <v>Active</v>
      </c>
    </row>
    <row r="210" spans="1:11" x14ac:dyDescent="0.3">
      <c r="A210">
        <v>139</v>
      </c>
      <c r="B210" s="2">
        <v>45815</v>
      </c>
      <c r="C210" t="str">
        <f>VLOOKUP(D210, Member_Master!A:B, 2, FALSE)</f>
        <v>M069</v>
      </c>
      <c r="D210" t="s">
        <v>76</v>
      </c>
      <c r="E210">
        <v>1000</v>
      </c>
      <c r="F210" t="str">
        <f t="shared" si="9"/>
        <v>Monthly</v>
      </c>
      <c r="G210" t="s">
        <v>6</v>
      </c>
      <c r="H210" t="s">
        <v>7</v>
      </c>
      <c r="I210" s="2">
        <v>45809</v>
      </c>
      <c r="J210" s="2">
        <f t="shared" si="10"/>
        <v>45845</v>
      </c>
      <c r="K210" t="str">
        <f t="shared" si="11"/>
        <v>Churn Risk</v>
      </c>
    </row>
    <row r="211" spans="1:11" x14ac:dyDescent="0.3">
      <c r="A211">
        <v>210</v>
      </c>
      <c r="B211" s="2">
        <v>45815</v>
      </c>
      <c r="C211" t="str">
        <f>VLOOKUP(D211, Member_Master!A:B, 2, FALSE)</f>
        <v>M101</v>
      </c>
      <c r="D211" t="s">
        <v>108</v>
      </c>
      <c r="E211">
        <v>1000</v>
      </c>
      <c r="F211" t="str">
        <f t="shared" si="9"/>
        <v>Monthly</v>
      </c>
      <c r="G211" t="s">
        <v>6</v>
      </c>
      <c r="H211" t="s">
        <v>7</v>
      </c>
      <c r="I211" s="2">
        <v>45809</v>
      </c>
      <c r="J211" s="2">
        <f t="shared" si="10"/>
        <v>45845</v>
      </c>
      <c r="K211" t="str">
        <f t="shared" si="11"/>
        <v>Churn Risk</v>
      </c>
    </row>
    <row r="212" spans="1:11" x14ac:dyDescent="0.3">
      <c r="A212">
        <v>337</v>
      </c>
      <c r="B212" s="2">
        <v>45815</v>
      </c>
      <c r="C212" t="str">
        <f>VLOOKUP(D212, Member_Master!A:B, 2, FALSE)</f>
        <v>M178</v>
      </c>
      <c r="D212" t="s">
        <v>185</v>
      </c>
      <c r="E212">
        <v>1000</v>
      </c>
      <c r="F212" t="str">
        <f t="shared" si="9"/>
        <v>Monthly</v>
      </c>
      <c r="G212" t="s">
        <v>9</v>
      </c>
      <c r="H212" t="s">
        <v>7</v>
      </c>
      <c r="I212" s="2">
        <v>45809</v>
      </c>
      <c r="J212" s="2">
        <f t="shared" si="10"/>
        <v>45845</v>
      </c>
      <c r="K212" t="str">
        <f t="shared" si="11"/>
        <v>Churn Risk</v>
      </c>
    </row>
    <row r="213" spans="1:11" x14ac:dyDescent="0.3">
      <c r="A213">
        <v>348</v>
      </c>
      <c r="B213" s="2">
        <v>45815</v>
      </c>
      <c r="C213" t="str">
        <f>VLOOKUP(D213, Member_Master!A:B, 2, FALSE)</f>
        <v>M184</v>
      </c>
      <c r="D213" t="s">
        <v>191</v>
      </c>
      <c r="E213">
        <v>1000</v>
      </c>
      <c r="F213" t="str">
        <f t="shared" si="9"/>
        <v>Monthly</v>
      </c>
      <c r="G213" t="s">
        <v>6</v>
      </c>
      <c r="H213" t="s">
        <v>7</v>
      </c>
      <c r="I213" s="2">
        <v>45809</v>
      </c>
      <c r="J213" s="2">
        <f t="shared" si="10"/>
        <v>45845</v>
      </c>
      <c r="K213" t="str">
        <f t="shared" si="11"/>
        <v>Churn Risk</v>
      </c>
    </row>
    <row r="214" spans="1:11" x14ac:dyDescent="0.3">
      <c r="A214">
        <v>99</v>
      </c>
      <c r="B214" s="2">
        <v>45817</v>
      </c>
      <c r="C214" t="str">
        <f>VLOOKUP(D214, Member_Master!A:B, 2, FALSE)</f>
        <v>M050</v>
      </c>
      <c r="D214" t="s">
        <v>57</v>
      </c>
      <c r="E214">
        <v>1000</v>
      </c>
      <c r="F214" t="str">
        <f t="shared" si="9"/>
        <v>Monthly</v>
      </c>
      <c r="G214" t="s">
        <v>9</v>
      </c>
      <c r="H214" t="s">
        <v>7</v>
      </c>
      <c r="I214" s="2">
        <v>45809</v>
      </c>
      <c r="J214" s="2">
        <f t="shared" si="10"/>
        <v>45847</v>
      </c>
      <c r="K214" t="str">
        <f t="shared" si="11"/>
        <v>Churn Risk</v>
      </c>
    </row>
    <row r="215" spans="1:11" x14ac:dyDescent="0.3">
      <c r="A215">
        <v>200</v>
      </c>
      <c r="B215" s="2">
        <v>45817</v>
      </c>
      <c r="C215" t="str">
        <f>VLOOKUP(D215, Member_Master!A:B, 2, FALSE)</f>
        <v>M094</v>
      </c>
      <c r="D215" t="s">
        <v>101</v>
      </c>
      <c r="E215">
        <v>2400</v>
      </c>
      <c r="F215" t="str">
        <f t="shared" si="9"/>
        <v>3 Months</v>
      </c>
      <c r="G215" t="s">
        <v>9</v>
      </c>
      <c r="H215" t="s">
        <v>7</v>
      </c>
      <c r="I215" s="2">
        <v>45809</v>
      </c>
      <c r="J215" s="2">
        <f t="shared" si="10"/>
        <v>45907</v>
      </c>
      <c r="K215" t="str">
        <f t="shared" si="11"/>
        <v>Active</v>
      </c>
    </row>
    <row r="216" spans="1:11" x14ac:dyDescent="0.3">
      <c r="A216">
        <v>234</v>
      </c>
      <c r="B216" s="2">
        <v>45817</v>
      </c>
      <c r="C216" t="str">
        <f>VLOOKUP(D216, Member_Master!A:B, 2, FALSE)</f>
        <v>M112</v>
      </c>
      <c r="D216" t="s">
        <v>119</v>
      </c>
      <c r="E216">
        <v>1000</v>
      </c>
      <c r="F216" t="str">
        <f t="shared" si="9"/>
        <v>Monthly</v>
      </c>
      <c r="G216" t="s">
        <v>6</v>
      </c>
      <c r="H216" t="s">
        <v>7</v>
      </c>
      <c r="I216" s="2">
        <v>45809</v>
      </c>
      <c r="J216" s="2">
        <f t="shared" si="10"/>
        <v>45847</v>
      </c>
      <c r="K216" t="str">
        <f t="shared" si="11"/>
        <v>Churn Risk</v>
      </c>
    </row>
    <row r="217" spans="1:11" x14ac:dyDescent="0.3">
      <c r="A217">
        <v>296</v>
      </c>
      <c r="B217" s="2">
        <v>45817</v>
      </c>
      <c r="C217" t="str">
        <f>VLOOKUP(D217, Member_Master!A:B, 2, FALSE)</f>
        <v>M149</v>
      </c>
      <c r="D217" t="s">
        <v>156</v>
      </c>
      <c r="E217">
        <v>1000</v>
      </c>
      <c r="F217" t="str">
        <f t="shared" si="9"/>
        <v>Monthly</v>
      </c>
      <c r="G217" t="s">
        <v>6</v>
      </c>
      <c r="H217" t="s">
        <v>7</v>
      </c>
      <c r="I217" s="2">
        <v>45809</v>
      </c>
      <c r="J217" s="2">
        <f t="shared" si="10"/>
        <v>45847</v>
      </c>
      <c r="K217" t="str">
        <f t="shared" si="11"/>
        <v>Churn Risk</v>
      </c>
    </row>
    <row r="218" spans="1:11" x14ac:dyDescent="0.3">
      <c r="A218">
        <v>341</v>
      </c>
      <c r="B218" s="2">
        <v>45817</v>
      </c>
      <c r="C218" t="str">
        <f>VLOOKUP(D218, Member_Master!A:B, 2, FALSE)</f>
        <v>M180</v>
      </c>
      <c r="D218" t="s">
        <v>187</v>
      </c>
      <c r="E218">
        <v>1000</v>
      </c>
      <c r="F218" t="str">
        <f t="shared" si="9"/>
        <v>Monthly</v>
      </c>
      <c r="G218" t="s">
        <v>6</v>
      </c>
      <c r="H218" t="s">
        <v>7</v>
      </c>
      <c r="I218" s="2">
        <v>45809</v>
      </c>
      <c r="J218" s="2">
        <f t="shared" si="10"/>
        <v>45847</v>
      </c>
      <c r="K218" t="str">
        <f t="shared" si="11"/>
        <v>Churn Risk</v>
      </c>
    </row>
    <row r="219" spans="1:11" x14ac:dyDescent="0.3">
      <c r="A219">
        <v>344</v>
      </c>
      <c r="B219" s="2">
        <v>45817</v>
      </c>
      <c r="C219" t="str">
        <f>VLOOKUP(D219, Member_Master!A:B, 2, FALSE)</f>
        <v>M182</v>
      </c>
      <c r="D219" t="s">
        <v>189</v>
      </c>
      <c r="E219">
        <v>1000</v>
      </c>
      <c r="F219" t="str">
        <f t="shared" si="9"/>
        <v>Monthly</v>
      </c>
      <c r="G219" t="s">
        <v>6</v>
      </c>
      <c r="H219" t="s">
        <v>7</v>
      </c>
      <c r="I219" s="2">
        <v>45809</v>
      </c>
      <c r="J219" s="2">
        <f t="shared" si="10"/>
        <v>45847</v>
      </c>
      <c r="K219" t="str">
        <f t="shared" si="11"/>
        <v>Churn Risk</v>
      </c>
    </row>
    <row r="220" spans="1:11" x14ac:dyDescent="0.3">
      <c r="A220">
        <v>165</v>
      </c>
      <c r="B220" s="2">
        <v>45818</v>
      </c>
      <c r="C220" t="str">
        <f>VLOOKUP(D220, Member_Master!A:B, 2, FALSE)</f>
        <v>M079</v>
      </c>
      <c r="D220" t="s">
        <v>86</v>
      </c>
      <c r="E220">
        <v>3000</v>
      </c>
      <c r="F220" t="str">
        <f t="shared" si="9"/>
        <v>3 Months</v>
      </c>
      <c r="G220" t="s">
        <v>6</v>
      </c>
      <c r="H220" t="s">
        <v>467</v>
      </c>
      <c r="I220" s="2">
        <v>45809</v>
      </c>
      <c r="J220" s="2">
        <f t="shared" si="10"/>
        <v>45908</v>
      </c>
      <c r="K220" t="str">
        <f t="shared" si="11"/>
        <v>Active</v>
      </c>
    </row>
    <row r="221" spans="1:11" x14ac:dyDescent="0.3">
      <c r="A221">
        <v>326</v>
      </c>
      <c r="B221" s="2">
        <v>45818</v>
      </c>
      <c r="C221" t="str">
        <f>VLOOKUP(D221, Member_Master!A:B, 2, FALSE)</f>
        <v>M173</v>
      </c>
      <c r="D221" t="s">
        <v>180</v>
      </c>
      <c r="E221">
        <v>1000</v>
      </c>
      <c r="F221" t="str">
        <f t="shared" si="9"/>
        <v>Monthly</v>
      </c>
      <c r="G221" t="s">
        <v>6</v>
      </c>
      <c r="H221" t="s">
        <v>7</v>
      </c>
      <c r="I221" s="2">
        <v>45809</v>
      </c>
      <c r="J221" s="2">
        <f t="shared" si="10"/>
        <v>45848</v>
      </c>
      <c r="K221" t="str">
        <f t="shared" si="11"/>
        <v>Churn Risk</v>
      </c>
    </row>
    <row r="222" spans="1:11" x14ac:dyDescent="0.3">
      <c r="A222">
        <v>125</v>
      </c>
      <c r="B222" s="2">
        <v>45819</v>
      </c>
      <c r="C222" t="str">
        <f>VLOOKUP(D222, Member_Master!A:B, 2, FALSE)</f>
        <v>M065</v>
      </c>
      <c r="D222" t="s">
        <v>72</v>
      </c>
      <c r="E222">
        <v>1000</v>
      </c>
      <c r="F222" t="str">
        <f t="shared" si="9"/>
        <v>Monthly</v>
      </c>
      <c r="G222" t="s">
        <v>6</v>
      </c>
      <c r="H222" t="s">
        <v>7</v>
      </c>
      <c r="I222" s="2">
        <v>45809</v>
      </c>
      <c r="J222" s="2">
        <f t="shared" si="10"/>
        <v>45849</v>
      </c>
      <c r="K222" t="str">
        <f t="shared" si="11"/>
        <v>Churn Risk</v>
      </c>
    </row>
    <row r="223" spans="1:11" x14ac:dyDescent="0.3">
      <c r="A223">
        <v>218</v>
      </c>
      <c r="B223" s="2">
        <v>45819</v>
      </c>
      <c r="C223" t="str">
        <f>VLOOKUP(D223, Member_Master!A:B, 2, FALSE)</f>
        <v>M106</v>
      </c>
      <c r="D223" t="s">
        <v>113</v>
      </c>
      <c r="E223">
        <v>1000</v>
      </c>
      <c r="F223" t="str">
        <f t="shared" si="9"/>
        <v>Monthly</v>
      </c>
      <c r="G223" t="s">
        <v>6</v>
      </c>
      <c r="H223" t="s">
        <v>7</v>
      </c>
      <c r="I223" s="2">
        <v>45809</v>
      </c>
      <c r="J223" s="2">
        <f t="shared" si="10"/>
        <v>45849</v>
      </c>
      <c r="K223" t="str">
        <f t="shared" si="11"/>
        <v>Churn Risk</v>
      </c>
    </row>
    <row r="224" spans="1:11" x14ac:dyDescent="0.3">
      <c r="A224">
        <v>308</v>
      </c>
      <c r="B224" s="2">
        <v>45819</v>
      </c>
      <c r="C224" t="str">
        <f>VLOOKUP(D224, Member_Master!A:B, 2, FALSE)</f>
        <v>M158</v>
      </c>
      <c r="D224" t="s">
        <v>165</v>
      </c>
      <c r="E224">
        <v>1000</v>
      </c>
      <c r="F224" t="str">
        <f t="shared" si="9"/>
        <v>Monthly</v>
      </c>
      <c r="G224" t="s">
        <v>9</v>
      </c>
      <c r="H224" t="s">
        <v>7</v>
      </c>
      <c r="I224" s="2">
        <v>45809</v>
      </c>
      <c r="J224" s="2">
        <f t="shared" si="10"/>
        <v>45849</v>
      </c>
      <c r="K224" t="str">
        <f t="shared" si="11"/>
        <v>Churn Risk</v>
      </c>
    </row>
    <row r="225" spans="1:11" x14ac:dyDescent="0.3">
      <c r="A225">
        <v>152</v>
      </c>
      <c r="B225" s="2">
        <v>45820</v>
      </c>
      <c r="C225" t="str">
        <f>VLOOKUP(D225, Member_Master!A:B, 2, FALSE)</f>
        <v>M072</v>
      </c>
      <c r="D225" t="s">
        <v>79</v>
      </c>
      <c r="E225">
        <v>1000</v>
      </c>
      <c r="F225" t="str">
        <f t="shared" si="9"/>
        <v>Monthly</v>
      </c>
      <c r="G225" t="s">
        <v>6</v>
      </c>
      <c r="H225" t="s">
        <v>7</v>
      </c>
      <c r="I225" s="2">
        <v>45809</v>
      </c>
      <c r="J225" s="2">
        <f t="shared" si="10"/>
        <v>45850</v>
      </c>
      <c r="K225" t="str">
        <f t="shared" si="11"/>
        <v>Churn Risk</v>
      </c>
    </row>
    <row r="226" spans="1:11" x14ac:dyDescent="0.3">
      <c r="A226">
        <v>173</v>
      </c>
      <c r="B226" s="2">
        <v>45820</v>
      </c>
      <c r="C226" t="str">
        <f>VLOOKUP(D226, Member_Master!A:B, 2, FALSE)</f>
        <v>M080</v>
      </c>
      <c r="D226" t="s">
        <v>87</v>
      </c>
      <c r="E226">
        <v>1000</v>
      </c>
      <c r="F226" t="str">
        <f t="shared" si="9"/>
        <v>Monthly</v>
      </c>
      <c r="G226" t="s">
        <v>6</v>
      </c>
      <c r="H226" t="s">
        <v>7</v>
      </c>
      <c r="I226" s="2">
        <v>45809</v>
      </c>
      <c r="J226" s="2">
        <f t="shared" si="10"/>
        <v>45850</v>
      </c>
      <c r="K226" t="str">
        <f t="shared" si="11"/>
        <v>Churn Risk</v>
      </c>
    </row>
    <row r="227" spans="1:11" x14ac:dyDescent="0.3">
      <c r="A227">
        <v>156</v>
      </c>
      <c r="B227" s="2">
        <v>45821</v>
      </c>
      <c r="C227" t="str">
        <f>VLOOKUP(D227, Member_Master!A:B, 2, FALSE)</f>
        <v>M074</v>
      </c>
      <c r="D227" t="s">
        <v>81</v>
      </c>
      <c r="E227">
        <v>1000</v>
      </c>
      <c r="F227" t="str">
        <f t="shared" si="9"/>
        <v>Monthly</v>
      </c>
      <c r="G227" t="s">
        <v>9</v>
      </c>
      <c r="H227" t="s">
        <v>7</v>
      </c>
      <c r="I227" s="2">
        <v>45809</v>
      </c>
      <c r="J227" s="2">
        <f t="shared" si="10"/>
        <v>45851</v>
      </c>
      <c r="K227" t="str">
        <f t="shared" si="11"/>
        <v>Churn Risk</v>
      </c>
    </row>
    <row r="228" spans="1:11" x14ac:dyDescent="0.3">
      <c r="A228">
        <v>192</v>
      </c>
      <c r="B228" s="2">
        <v>45821</v>
      </c>
      <c r="C228" t="str">
        <f>VLOOKUP(D228, Member_Master!A:B, 2, FALSE)</f>
        <v>M089</v>
      </c>
      <c r="D228" t="s">
        <v>96</v>
      </c>
      <c r="E228">
        <v>1000</v>
      </c>
      <c r="F228" t="str">
        <f t="shared" si="9"/>
        <v>Monthly</v>
      </c>
      <c r="G228" t="s">
        <v>9</v>
      </c>
      <c r="H228" t="s">
        <v>7</v>
      </c>
      <c r="I228" s="2">
        <v>45809</v>
      </c>
      <c r="J228" s="2">
        <f t="shared" si="10"/>
        <v>45851</v>
      </c>
      <c r="K228" t="str">
        <f t="shared" si="11"/>
        <v>Churn Risk</v>
      </c>
    </row>
    <row r="229" spans="1:11" x14ac:dyDescent="0.3">
      <c r="A229">
        <v>193</v>
      </c>
      <c r="B229" s="2">
        <v>45821</v>
      </c>
      <c r="C229" t="str">
        <f>VLOOKUP(D229, Member_Master!A:B, 2, FALSE)</f>
        <v>M090</v>
      </c>
      <c r="D229" t="s">
        <v>97</v>
      </c>
      <c r="E229">
        <v>1000</v>
      </c>
      <c r="F229" t="str">
        <f t="shared" si="9"/>
        <v>Monthly</v>
      </c>
      <c r="G229" t="s">
        <v>9</v>
      </c>
      <c r="H229" t="s">
        <v>7</v>
      </c>
      <c r="I229" s="2">
        <v>45809</v>
      </c>
      <c r="J229" s="2">
        <f t="shared" si="10"/>
        <v>45851</v>
      </c>
      <c r="K229" t="str">
        <f t="shared" si="11"/>
        <v>Churn Risk</v>
      </c>
    </row>
    <row r="230" spans="1:11" x14ac:dyDescent="0.3">
      <c r="A230">
        <v>71</v>
      </c>
      <c r="B230" s="2">
        <v>45824</v>
      </c>
      <c r="C230" t="str">
        <f>VLOOKUP(D230, Member_Master!A:B, 2, FALSE)</f>
        <v>M032</v>
      </c>
      <c r="D230" t="s">
        <v>39</v>
      </c>
      <c r="E230">
        <v>1000</v>
      </c>
      <c r="F230" t="str">
        <f t="shared" si="9"/>
        <v>Monthly</v>
      </c>
      <c r="G230" t="s">
        <v>9</v>
      </c>
      <c r="H230" t="s">
        <v>7</v>
      </c>
      <c r="I230" s="2">
        <v>45809</v>
      </c>
      <c r="J230" s="2">
        <f t="shared" si="10"/>
        <v>45854</v>
      </c>
      <c r="K230" t="str">
        <f t="shared" si="11"/>
        <v>Churn Risk</v>
      </c>
    </row>
    <row r="231" spans="1:11" x14ac:dyDescent="0.3">
      <c r="A231">
        <v>75</v>
      </c>
      <c r="B231" s="2">
        <v>45824</v>
      </c>
      <c r="C231" t="str">
        <f>VLOOKUP(D231, Member_Master!A:B, 2, FALSE)</f>
        <v>M036</v>
      </c>
      <c r="D231" t="s">
        <v>43</v>
      </c>
      <c r="E231">
        <v>1000</v>
      </c>
      <c r="F231" t="str">
        <f t="shared" si="9"/>
        <v>Monthly</v>
      </c>
      <c r="G231" t="s">
        <v>9</v>
      </c>
      <c r="H231" t="s">
        <v>7</v>
      </c>
      <c r="I231" s="2">
        <v>45809</v>
      </c>
      <c r="J231" s="2">
        <f t="shared" si="10"/>
        <v>45854</v>
      </c>
      <c r="K231" t="str">
        <f t="shared" si="11"/>
        <v>Churn Risk</v>
      </c>
    </row>
    <row r="232" spans="1:11" x14ac:dyDescent="0.3">
      <c r="A232">
        <v>79</v>
      </c>
      <c r="B232" s="2">
        <v>45824</v>
      </c>
      <c r="C232" t="str">
        <f>VLOOKUP(D232, Member_Master!A:B, 2, FALSE)</f>
        <v>M037</v>
      </c>
      <c r="D232" t="s">
        <v>44</v>
      </c>
      <c r="E232">
        <v>1000</v>
      </c>
      <c r="F232" t="str">
        <f t="shared" si="9"/>
        <v>Monthly</v>
      </c>
      <c r="G232" t="s">
        <v>6</v>
      </c>
      <c r="H232" t="s">
        <v>7</v>
      </c>
      <c r="I232" s="2">
        <v>45809</v>
      </c>
      <c r="J232" s="2">
        <f t="shared" si="10"/>
        <v>45854</v>
      </c>
      <c r="K232" t="str">
        <f t="shared" si="11"/>
        <v>Churn Risk</v>
      </c>
    </row>
    <row r="233" spans="1:11" x14ac:dyDescent="0.3">
      <c r="A233">
        <v>290</v>
      </c>
      <c r="B233" s="2">
        <v>45825</v>
      </c>
      <c r="C233" t="str">
        <f>VLOOKUP(D233, Member_Master!A:B, 2, FALSE)</f>
        <v>M146</v>
      </c>
      <c r="D233" t="s">
        <v>153</v>
      </c>
      <c r="E233">
        <v>4000</v>
      </c>
      <c r="F233" t="str">
        <f t="shared" si="9"/>
        <v>3 Months</v>
      </c>
      <c r="G233" t="s">
        <v>9</v>
      </c>
      <c r="H233" t="s">
        <v>467</v>
      </c>
      <c r="I233" s="2">
        <v>45809</v>
      </c>
      <c r="J233" s="2">
        <f t="shared" si="10"/>
        <v>45915</v>
      </c>
      <c r="K233" t="str">
        <f t="shared" si="11"/>
        <v>Active</v>
      </c>
    </row>
    <row r="234" spans="1:11" x14ac:dyDescent="0.3">
      <c r="A234">
        <v>65</v>
      </c>
      <c r="B234" s="2">
        <v>45826</v>
      </c>
      <c r="C234" t="str">
        <f>VLOOKUP(D234, Member_Master!A:B, 2, FALSE)</f>
        <v>M031</v>
      </c>
      <c r="D234" t="s">
        <v>38</v>
      </c>
      <c r="E234">
        <v>1000</v>
      </c>
      <c r="F234" t="str">
        <f t="shared" si="9"/>
        <v>Monthly</v>
      </c>
      <c r="G234" t="s">
        <v>9</v>
      </c>
      <c r="H234" t="s">
        <v>7</v>
      </c>
      <c r="I234" s="2">
        <v>45809</v>
      </c>
      <c r="J234" s="2">
        <f t="shared" si="10"/>
        <v>45856</v>
      </c>
      <c r="K234" t="str">
        <f t="shared" si="11"/>
        <v>Churn Risk</v>
      </c>
    </row>
    <row r="235" spans="1:11" x14ac:dyDescent="0.3">
      <c r="A235">
        <v>91</v>
      </c>
      <c r="B235" s="2">
        <v>45826</v>
      </c>
      <c r="C235" t="str">
        <f>VLOOKUP(D235, Member_Master!A:B, 2, FALSE)</f>
        <v>M044</v>
      </c>
      <c r="D235" t="s">
        <v>51</v>
      </c>
      <c r="E235">
        <v>4200</v>
      </c>
      <c r="F235" t="str">
        <f t="shared" si="9"/>
        <v>3 Months</v>
      </c>
      <c r="G235" t="s">
        <v>6</v>
      </c>
      <c r="H235" t="s">
        <v>7</v>
      </c>
      <c r="I235" s="2">
        <v>45809</v>
      </c>
      <c r="J235" s="2">
        <f t="shared" si="10"/>
        <v>45916</v>
      </c>
      <c r="K235" t="str">
        <f t="shared" si="11"/>
        <v>Active</v>
      </c>
    </row>
    <row r="236" spans="1:11" x14ac:dyDescent="0.3">
      <c r="A236">
        <v>133</v>
      </c>
      <c r="B236" s="2">
        <v>45826</v>
      </c>
      <c r="C236" t="str">
        <f>VLOOKUP(D236, Member_Master!A:B, 2, FALSE)</f>
        <v>M068</v>
      </c>
      <c r="D236" t="s">
        <v>75</v>
      </c>
      <c r="E236">
        <v>1000</v>
      </c>
      <c r="F236" t="str">
        <f t="shared" si="9"/>
        <v>Monthly</v>
      </c>
      <c r="G236" t="s">
        <v>6</v>
      </c>
      <c r="H236" t="s">
        <v>7</v>
      </c>
      <c r="I236" s="2">
        <v>45809</v>
      </c>
      <c r="J236" s="2">
        <f t="shared" si="10"/>
        <v>45856</v>
      </c>
      <c r="K236" t="str">
        <f t="shared" si="11"/>
        <v>Churn Risk</v>
      </c>
    </row>
    <row r="237" spans="1:11" x14ac:dyDescent="0.3">
      <c r="A237">
        <v>105</v>
      </c>
      <c r="B237" s="2">
        <v>45827</v>
      </c>
      <c r="C237" t="str">
        <f>VLOOKUP(D237, Member_Master!A:B, 2, FALSE)</f>
        <v>M053</v>
      </c>
      <c r="D237" t="s">
        <v>60</v>
      </c>
      <c r="E237">
        <v>1000</v>
      </c>
      <c r="F237" t="str">
        <f t="shared" si="9"/>
        <v>Monthly</v>
      </c>
      <c r="G237" t="s">
        <v>6</v>
      </c>
      <c r="H237" t="s">
        <v>7</v>
      </c>
      <c r="I237" s="2">
        <v>45809</v>
      </c>
      <c r="J237" s="2">
        <f t="shared" si="10"/>
        <v>45857</v>
      </c>
      <c r="K237" t="str">
        <f t="shared" si="11"/>
        <v>Churn Risk</v>
      </c>
    </row>
    <row r="238" spans="1:11" x14ac:dyDescent="0.3">
      <c r="A238">
        <v>113</v>
      </c>
      <c r="B238" s="2">
        <v>45827</v>
      </c>
      <c r="C238" t="str">
        <f>VLOOKUP(D238, Member_Master!A:B, 2, FALSE)</f>
        <v>M058</v>
      </c>
      <c r="D238" t="s">
        <v>65</v>
      </c>
      <c r="E238">
        <v>2400</v>
      </c>
      <c r="F238" t="str">
        <f t="shared" si="9"/>
        <v>3 Months</v>
      </c>
      <c r="G238" t="s">
        <v>6</v>
      </c>
      <c r="H238" t="s">
        <v>7</v>
      </c>
      <c r="I238" s="2">
        <v>45809</v>
      </c>
      <c r="J238" s="2">
        <f t="shared" si="10"/>
        <v>45917</v>
      </c>
      <c r="K238" t="str">
        <f t="shared" si="11"/>
        <v>Active</v>
      </c>
    </row>
    <row r="239" spans="1:11" x14ac:dyDescent="0.3">
      <c r="A239">
        <v>179</v>
      </c>
      <c r="B239" s="2">
        <v>45827</v>
      </c>
      <c r="C239" t="str">
        <f>VLOOKUP(D239, Member_Master!A:B, 2, FALSE)</f>
        <v>M082</v>
      </c>
      <c r="D239" t="s">
        <v>89</v>
      </c>
      <c r="E239">
        <v>500</v>
      </c>
      <c r="F239" t="str">
        <f t="shared" si="9"/>
        <v>Monthly</v>
      </c>
      <c r="G239" t="s">
        <v>9</v>
      </c>
      <c r="H239" t="s">
        <v>7</v>
      </c>
      <c r="I239" s="2">
        <v>45809</v>
      </c>
      <c r="J239" s="2">
        <f t="shared" si="10"/>
        <v>45857</v>
      </c>
      <c r="K239" t="str">
        <f t="shared" si="11"/>
        <v>Churn Risk</v>
      </c>
    </row>
    <row r="240" spans="1:11" x14ac:dyDescent="0.3">
      <c r="A240">
        <v>209</v>
      </c>
      <c r="B240" s="2">
        <v>45829</v>
      </c>
      <c r="C240" t="str">
        <f>VLOOKUP(D240, Member_Master!A:B, 2, FALSE)</f>
        <v>M100</v>
      </c>
      <c r="D240" t="s">
        <v>107</v>
      </c>
      <c r="E240">
        <v>4200</v>
      </c>
      <c r="F240" t="str">
        <f t="shared" si="9"/>
        <v>3 Months</v>
      </c>
      <c r="G240" t="s">
        <v>6</v>
      </c>
      <c r="H240" t="s">
        <v>7</v>
      </c>
      <c r="I240" s="2">
        <v>45809</v>
      </c>
      <c r="J240" s="2">
        <f t="shared" si="10"/>
        <v>45919</v>
      </c>
      <c r="K240" t="str">
        <f t="shared" si="11"/>
        <v>Active</v>
      </c>
    </row>
    <row r="241" spans="1:11" x14ac:dyDescent="0.3">
      <c r="A241">
        <v>334</v>
      </c>
      <c r="B241" s="2">
        <v>45829</v>
      </c>
      <c r="C241" t="str">
        <f>VLOOKUP(D241, Member_Master!A:B, 2, FALSE)</f>
        <v>M177</v>
      </c>
      <c r="D241" t="s">
        <v>184</v>
      </c>
      <c r="E241">
        <v>1000</v>
      </c>
      <c r="F241" t="str">
        <f t="shared" si="9"/>
        <v>Monthly</v>
      </c>
      <c r="G241" t="s">
        <v>9</v>
      </c>
      <c r="H241" t="s">
        <v>7</v>
      </c>
      <c r="I241" s="2">
        <v>45809</v>
      </c>
      <c r="J241" s="2">
        <f t="shared" si="10"/>
        <v>45859</v>
      </c>
      <c r="K241" t="str">
        <f t="shared" si="11"/>
        <v>Churn Risk</v>
      </c>
    </row>
    <row r="242" spans="1:11" x14ac:dyDescent="0.3">
      <c r="A242">
        <v>144</v>
      </c>
      <c r="B242" s="2">
        <v>45831</v>
      </c>
      <c r="C242" t="str">
        <f>VLOOKUP(D242, Member_Master!A:B, 2, FALSE)</f>
        <v>M070</v>
      </c>
      <c r="D242" t="s">
        <v>77</v>
      </c>
      <c r="E242">
        <v>1000</v>
      </c>
      <c r="F242" t="str">
        <f t="shared" si="9"/>
        <v>Monthly</v>
      </c>
      <c r="G242" t="s">
        <v>9</v>
      </c>
      <c r="H242" t="s">
        <v>7</v>
      </c>
      <c r="I242" s="2">
        <v>45809</v>
      </c>
      <c r="J242" s="2">
        <f t="shared" si="10"/>
        <v>45861</v>
      </c>
      <c r="K242" t="str">
        <f t="shared" si="11"/>
        <v>Churn Risk</v>
      </c>
    </row>
    <row r="243" spans="1:11" x14ac:dyDescent="0.3">
      <c r="A243">
        <v>246</v>
      </c>
      <c r="B243" s="2">
        <v>45831</v>
      </c>
      <c r="C243" t="str">
        <f>VLOOKUP(D243, Member_Master!A:B, 2, FALSE)</f>
        <v>M117</v>
      </c>
      <c r="D243" t="s">
        <v>124</v>
      </c>
      <c r="E243">
        <v>1000</v>
      </c>
      <c r="F243" t="str">
        <f t="shared" si="9"/>
        <v>Monthly</v>
      </c>
      <c r="G243" t="s">
        <v>6</v>
      </c>
      <c r="H243" t="s">
        <v>7</v>
      </c>
      <c r="I243" s="2">
        <v>45809</v>
      </c>
      <c r="J243" s="2">
        <f t="shared" si="10"/>
        <v>45861</v>
      </c>
      <c r="K243" t="str">
        <f t="shared" si="11"/>
        <v>Churn Risk</v>
      </c>
    </row>
    <row r="244" spans="1:11" x14ac:dyDescent="0.3">
      <c r="A244">
        <v>279</v>
      </c>
      <c r="B244" s="2">
        <v>45831</v>
      </c>
      <c r="C244" t="str">
        <f>VLOOKUP(D244, Member_Master!A:B, 2, FALSE)</f>
        <v>M138</v>
      </c>
      <c r="D244" t="s">
        <v>145</v>
      </c>
      <c r="E244">
        <v>1000</v>
      </c>
      <c r="F244" t="str">
        <f t="shared" si="9"/>
        <v>Monthly</v>
      </c>
      <c r="G244" t="s">
        <v>9</v>
      </c>
      <c r="H244" t="s">
        <v>7</v>
      </c>
      <c r="I244" s="2">
        <v>45809</v>
      </c>
      <c r="J244" s="2">
        <f t="shared" si="10"/>
        <v>45861</v>
      </c>
      <c r="K244" t="str">
        <f t="shared" si="11"/>
        <v>Churn Risk</v>
      </c>
    </row>
    <row r="245" spans="1:11" x14ac:dyDescent="0.3">
      <c r="A245">
        <v>323</v>
      </c>
      <c r="B245" s="2">
        <v>45831</v>
      </c>
      <c r="C245" t="str">
        <f>VLOOKUP(D245, Member_Master!A:B, 2, FALSE)</f>
        <v>M171</v>
      </c>
      <c r="D245" t="s">
        <v>178</v>
      </c>
      <c r="E245">
        <v>1000</v>
      </c>
      <c r="F245" t="str">
        <f t="shared" si="9"/>
        <v>Monthly</v>
      </c>
      <c r="G245" t="s">
        <v>6</v>
      </c>
      <c r="H245" t="s">
        <v>7</v>
      </c>
      <c r="I245" s="2">
        <v>45809</v>
      </c>
      <c r="J245" s="2">
        <f t="shared" si="10"/>
        <v>45861</v>
      </c>
      <c r="K245" t="str">
        <f t="shared" si="11"/>
        <v>Churn Risk</v>
      </c>
    </row>
    <row r="246" spans="1:11" x14ac:dyDescent="0.3">
      <c r="A246">
        <v>92</v>
      </c>
      <c r="B246" s="2">
        <v>45832</v>
      </c>
      <c r="C246" t="str">
        <f>VLOOKUP(D246, Member_Master!A:B, 2, FALSE)</f>
        <v>M045</v>
      </c>
      <c r="D246" t="s">
        <v>52</v>
      </c>
      <c r="E246">
        <v>1000</v>
      </c>
      <c r="F246" t="str">
        <f t="shared" si="9"/>
        <v>Monthly</v>
      </c>
      <c r="G246" t="s">
        <v>6</v>
      </c>
      <c r="H246" t="s">
        <v>7</v>
      </c>
      <c r="I246" s="2">
        <v>45809</v>
      </c>
      <c r="J246" s="2">
        <f t="shared" si="10"/>
        <v>45862</v>
      </c>
      <c r="K246" t="str">
        <f t="shared" si="11"/>
        <v>Churn Risk</v>
      </c>
    </row>
    <row r="247" spans="1:11" x14ac:dyDescent="0.3">
      <c r="A247">
        <v>226</v>
      </c>
      <c r="B247" s="2">
        <v>45832</v>
      </c>
      <c r="C247" t="str">
        <f>VLOOKUP(D247, Member_Master!A:B, 2, FALSE)</f>
        <v>M109</v>
      </c>
      <c r="D247" t="s">
        <v>116</v>
      </c>
      <c r="E247">
        <v>800</v>
      </c>
      <c r="F247" t="str">
        <f t="shared" si="9"/>
        <v>Monthly</v>
      </c>
      <c r="G247" t="s">
        <v>6</v>
      </c>
      <c r="H247" t="s">
        <v>7</v>
      </c>
      <c r="I247" s="2">
        <v>45809</v>
      </c>
      <c r="J247" s="2">
        <f t="shared" si="10"/>
        <v>45862</v>
      </c>
      <c r="K247" t="str">
        <f t="shared" si="11"/>
        <v>Churn Risk</v>
      </c>
    </row>
    <row r="248" spans="1:11" x14ac:dyDescent="0.3">
      <c r="A248">
        <v>253</v>
      </c>
      <c r="B248" s="2">
        <v>45833</v>
      </c>
      <c r="C248" t="str">
        <f>VLOOKUP(D248, Member_Master!A:B, 2, FALSE)</f>
        <v>M123</v>
      </c>
      <c r="D248" t="s">
        <v>130</v>
      </c>
      <c r="E248">
        <v>2000</v>
      </c>
      <c r="F248" t="str">
        <f t="shared" si="9"/>
        <v>Monthly</v>
      </c>
      <c r="G248" t="s">
        <v>6</v>
      </c>
      <c r="H248" t="s">
        <v>467</v>
      </c>
      <c r="I248" s="2">
        <v>45809</v>
      </c>
      <c r="J248" s="2">
        <f t="shared" si="10"/>
        <v>45863</v>
      </c>
      <c r="K248" t="str">
        <f t="shared" si="11"/>
        <v>Churn Risk</v>
      </c>
    </row>
    <row r="249" spans="1:11" x14ac:dyDescent="0.3">
      <c r="A249">
        <v>131</v>
      </c>
      <c r="B249" s="2">
        <v>45834</v>
      </c>
      <c r="C249" t="str">
        <f>VLOOKUP(D249, Member_Master!A:B, 2, FALSE)</f>
        <v>M067</v>
      </c>
      <c r="D249" t="s">
        <v>74</v>
      </c>
      <c r="E249">
        <v>1000</v>
      </c>
      <c r="F249" t="str">
        <f t="shared" si="9"/>
        <v>Monthly</v>
      </c>
      <c r="G249" t="s">
        <v>9</v>
      </c>
      <c r="H249" t="s">
        <v>7</v>
      </c>
      <c r="I249" s="2">
        <v>45809</v>
      </c>
      <c r="J249" s="2">
        <f t="shared" si="10"/>
        <v>45864</v>
      </c>
      <c r="K249" t="str">
        <f t="shared" si="11"/>
        <v>Churn Risk</v>
      </c>
    </row>
    <row r="250" spans="1:11" x14ac:dyDescent="0.3">
      <c r="A250">
        <v>30</v>
      </c>
      <c r="B250" s="2">
        <v>45838</v>
      </c>
      <c r="C250" t="str">
        <f>VLOOKUP(D250, Member_Master!A:B, 2, FALSE)</f>
        <v>M014</v>
      </c>
      <c r="D250" t="s">
        <v>21</v>
      </c>
      <c r="E250">
        <v>1000</v>
      </c>
      <c r="F250" t="str">
        <f t="shared" si="9"/>
        <v>Monthly</v>
      </c>
      <c r="G250" t="s">
        <v>6</v>
      </c>
      <c r="H250" t="s">
        <v>7</v>
      </c>
      <c r="I250" s="2">
        <v>45809</v>
      </c>
      <c r="J250" s="2">
        <f t="shared" si="10"/>
        <v>45868</v>
      </c>
      <c r="K250" t="str">
        <f t="shared" si="11"/>
        <v>Churn Risk</v>
      </c>
    </row>
    <row r="251" spans="1:11" x14ac:dyDescent="0.3">
      <c r="A251">
        <v>116</v>
      </c>
      <c r="B251" s="2">
        <v>45838</v>
      </c>
      <c r="C251" t="str">
        <f>VLOOKUP(D251, Member_Master!A:B, 2, FALSE)</f>
        <v>M060</v>
      </c>
      <c r="D251" t="s">
        <v>67</v>
      </c>
      <c r="E251">
        <v>1000</v>
      </c>
      <c r="F251" t="str">
        <f t="shared" si="9"/>
        <v>Monthly</v>
      </c>
      <c r="G251" t="s">
        <v>9</v>
      </c>
      <c r="H251" t="s">
        <v>7</v>
      </c>
      <c r="I251" s="2">
        <v>45809</v>
      </c>
      <c r="J251" s="2">
        <f t="shared" si="10"/>
        <v>45868</v>
      </c>
      <c r="K251" t="str">
        <f t="shared" si="11"/>
        <v>Churn Risk</v>
      </c>
    </row>
    <row r="252" spans="1:11" x14ac:dyDescent="0.3">
      <c r="A252">
        <v>51</v>
      </c>
      <c r="B252" s="2">
        <v>45839</v>
      </c>
      <c r="C252" t="str">
        <f>VLOOKUP(D252, Member_Master!A:B, 2, FALSE)</f>
        <v>M028</v>
      </c>
      <c r="D252" t="s">
        <v>35</v>
      </c>
      <c r="E252">
        <v>1000</v>
      </c>
      <c r="F252" t="str">
        <f t="shared" si="9"/>
        <v>Monthly</v>
      </c>
      <c r="G252" t="s">
        <v>9</v>
      </c>
      <c r="H252" t="s">
        <v>7</v>
      </c>
      <c r="I252" s="2">
        <v>45839</v>
      </c>
      <c r="J252" s="2">
        <f t="shared" si="10"/>
        <v>45869</v>
      </c>
      <c r="K252" t="str">
        <f t="shared" si="11"/>
        <v>Churn Risk</v>
      </c>
    </row>
    <row r="253" spans="1:11" x14ac:dyDescent="0.3">
      <c r="A253">
        <v>112</v>
      </c>
      <c r="B253" s="2">
        <v>45839</v>
      </c>
      <c r="C253" t="str">
        <f>VLOOKUP(D253, Member_Master!A:B, 2, FALSE)</f>
        <v>M057</v>
      </c>
      <c r="D253" t="s">
        <v>64</v>
      </c>
      <c r="E253">
        <v>1000</v>
      </c>
      <c r="F253" t="str">
        <f t="shared" si="9"/>
        <v>Monthly</v>
      </c>
      <c r="G253" t="s">
        <v>9</v>
      </c>
      <c r="H253" t="s">
        <v>7</v>
      </c>
      <c r="I253" s="2">
        <v>45839</v>
      </c>
      <c r="J253" s="2">
        <f t="shared" si="10"/>
        <v>45869</v>
      </c>
      <c r="K253" t="str">
        <f t="shared" si="11"/>
        <v>Churn Risk</v>
      </c>
    </row>
    <row r="254" spans="1:11" x14ac:dyDescent="0.3">
      <c r="A254">
        <v>168</v>
      </c>
      <c r="B254" s="2">
        <v>45839</v>
      </c>
      <c r="C254" t="str">
        <f>VLOOKUP(D254, Member_Master!A:B, 2, FALSE)</f>
        <v>M080</v>
      </c>
      <c r="D254" t="s">
        <v>87</v>
      </c>
      <c r="E254">
        <v>1000</v>
      </c>
      <c r="F254" t="str">
        <f t="shared" si="9"/>
        <v>Monthly</v>
      </c>
      <c r="G254" t="s">
        <v>6</v>
      </c>
      <c r="H254" t="s">
        <v>7</v>
      </c>
      <c r="I254" s="2">
        <v>45839</v>
      </c>
      <c r="J254" s="2">
        <f t="shared" si="10"/>
        <v>45869</v>
      </c>
      <c r="K254" t="str">
        <f t="shared" si="11"/>
        <v>Churn Risk</v>
      </c>
    </row>
    <row r="255" spans="1:11" x14ac:dyDescent="0.3">
      <c r="A255">
        <v>263</v>
      </c>
      <c r="B255" s="2">
        <v>45839</v>
      </c>
      <c r="C255" t="str">
        <f>VLOOKUP(D255, Member_Master!A:B, 2, FALSE)</f>
        <v>M129</v>
      </c>
      <c r="D255" t="s">
        <v>136</v>
      </c>
      <c r="E255">
        <v>1000</v>
      </c>
      <c r="F255" t="str">
        <f t="shared" si="9"/>
        <v>Monthly</v>
      </c>
      <c r="G255" t="s">
        <v>9</v>
      </c>
      <c r="H255" t="s">
        <v>7</v>
      </c>
      <c r="I255" s="2">
        <v>45839</v>
      </c>
      <c r="J255" s="2">
        <f t="shared" si="10"/>
        <v>45869</v>
      </c>
      <c r="K255" t="str">
        <f t="shared" si="11"/>
        <v>Churn Risk</v>
      </c>
    </row>
    <row r="256" spans="1:11" x14ac:dyDescent="0.3">
      <c r="A256">
        <v>285</v>
      </c>
      <c r="B256" s="2">
        <v>45839</v>
      </c>
      <c r="C256" t="str">
        <f>VLOOKUP(D256, Member_Master!A:B, 2, FALSE)</f>
        <v>M143</v>
      </c>
      <c r="D256" t="s">
        <v>150</v>
      </c>
      <c r="E256">
        <v>4000</v>
      </c>
      <c r="F256" t="str">
        <f t="shared" si="9"/>
        <v>3 Months</v>
      </c>
      <c r="G256" t="s">
        <v>9</v>
      </c>
      <c r="H256" t="s">
        <v>467</v>
      </c>
      <c r="I256" s="2">
        <v>45839</v>
      </c>
      <c r="J256" s="2">
        <f t="shared" si="10"/>
        <v>45929</v>
      </c>
      <c r="K256" t="str">
        <f t="shared" si="11"/>
        <v>Active</v>
      </c>
    </row>
    <row r="257" spans="1:11" x14ac:dyDescent="0.3">
      <c r="A257">
        <v>297</v>
      </c>
      <c r="B257" s="2">
        <v>45839</v>
      </c>
      <c r="C257" t="str">
        <f>VLOOKUP(D257, Member_Master!A:B, 2, FALSE)</f>
        <v>M150</v>
      </c>
      <c r="D257" t="s">
        <v>157</v>
      </c>
      <c r="E257">
        <v>1000</v>
      </c>
      <c r="F257" t="str">
        <f t="shared" si="9"/>
        <v>Monthly</v>
      </c>
      <c r="G257" t="s">
        <v>9</v>
      </c>
      <c r="H257" t="s">
        <v>7</v>
      </c>
      <c r="I257" s="2">
        <v>45839</v>
      </c>
      <c r="J257" s="2">
        <f t="shared" si="10"/>
        <v>45869</v>
      </c>
      <c r="K257" t="str">
        <f t="shared" si="11"/>
        <v>Churn Risk</v>
      </c>
    </row>
    <row r="258" spans="1:11" x14ac:dyDescent="0.3">
      <c r="A258">
        <v>298</v>
      </c>
      <c r="B258" s="2">
        <v>45839</v>
      </c>
      <c r="C258" t="str">
        <f>VLOOKUP(D258, Member_Master!A:B, 2, FALSE)</f>
        <v>M151</v>
      </c>
      <c r="D258" t="s">
        <v>158</v>
      </c>
      <c r="E258">
        <v>1000</v>
      </c>
      <c r="F258" t="str">
        <f t="shared" si="9"/>
        <v>Monthly</v>
      </c>
      <c r="G258" t="s">
        <v>6</v>
      </c>
      <c r="H258" t="s">
        <v>7</v>
      </c>
      <c r="I258" s="2">
        <v>45839</v>
      </c>
      <c r="J258" s="2">
        <f t="shared" si="10"/>
        <v>45869</v>
      </c>
      <c r="K258" t="str">
        <f t="shared" si="11"/>
        <v>Churn Risk</v>
      </c>
    </row>
    <row r="259" spans="1:11" x14ac:dyDescent="0.3">
      <c r="A259">
        <v>311</v>
      </c>
      <c r="B259" s="2">
        <v>45839</v>
      </c>
      <c r="C259" t="str">
        <f>VLOOKUP(D259, Member_Master!A:B, 2, FALSE)</f>
        <v>M161</v>
      </c>
      <c r="D259" t="s">
        <v>168</v>
      </c>
      <c r="E259">
        <v>1000</v>
      </c>
      <c r="F259" t="str">
        <f t="shared" si="9"/>
        <v>Monthly</v>
      </c>
      <c r="G259" t="s">
        <v>6</v>
      </c>
      <c r="H259" t="s">
        <v>7</v>
      </c>
      <c r="I259" s="2">
        <v>45839</v>
      </c>
      <c r="J259" s="2">
        <f t="shared" si="10"/>
        <v>45869</v>
      </c>
      <c r="K259" t="str">
        <f t="shared" si="11"/>
        <v>Churn Risk</v>
      </c>
    </row>
    <row r="260" spans="1:11" x14ac:dyDescent="0.3">
      <c r="A260">
        <v>312</v>
      </c>
      <c r="B260" s="2">
        <v>45839</v>
      </c>
      <c r="C260" t="str">
        <f>VLOOKUP(D260, Member_Master!A:B, 2, FALSE)</f>
        <v>M162</v>
      </c>
      <c r="D260" t="s">
        <v>169</v>
      </c>
      <c r="E260">
        <v>1000</v>
      </c>
      <c r="F260" t="str">
        <f t="shared" ref="F260:F323" si="12">IF(E260&lt;=2200,"Monthly",IF(E260&lt;=4500,"3 Months",
IF(E260&lt;=7000,"6 Months",
"Yearly")))</f>
        <v>Monthly</v>
      </c>
      <c r="G260" t="s">
        <v>6</v>
      </c>
      <c r="H260" t="s">
        <v>7</v>
      </c>
      <c r="I260" s="2">
        <v>45839</v>
      </c>
      <c r="J260" s="2">
        <f t="shared" ref="J260:J323" si="13">IF(F260="Monthly",B260+30,IF(F260="3 Months",B260+90,IF(F260="6 Months",B260+180,IF(F260="Yearly",B260+365,"Check Plan"))))</f>
        <v>45869</v>
      </c>
      <c r="K260" t="str">
        <f t="shared" ref="K260:K323" si="14">IF($N$4&lt;=J260,"Active",IF($N$4-J260&lt;=30,"At Risk","Churn Risk"))</f>
        <v>Churn Risk</v>
      </c>
    </row>
    <row r="261" spans="1:11" x14ac:dyDescent="0.3">
      <c r="A261">
        <v>93</v>
      </c>
      <c r="B261" s="2">
        <v>45840</v>
      </c>
      <c r="C261" t="str">
        <f>VLOOKUP(D261, Member_Master!A:B, 2, FALSE)</f>
        <v>M046</v>
      </c>
      <c r="D261" t="s">
        <v>53</v>
      </c>
      <c r="E261">
        <v>3000</v>
      </c>
      <c r="F261" t="str">
        <f t="shared" si="12"/>
        <v>3 Months</v>
      </c>
      <c r="G261" t="s">
        <v>6</v>
      </c>
      <c r="H261" t="s">
        <v>467</v>
      </c>
      <c r="I261" s="2">
        <v>45839</v>
      </c>
      <c r="J261" s="2">
        <f t="shared" si="13"/>
        <v>45930</v>
      </c>
      <c r="K261" t="str">
        <f t="shared" si="14"/>
        <v>Active</v>
      </c>
    </row>
    <row r="262" spans="1:11" x14ac:dyDescent="0.3">
      <c r="A262">
        <v>357</v>
      </c>
      <c r="B262" s="2">
        <v>45840</v>
      </c>
      <c r="C262" t="str">
        <f>VLOOKUP(D262, Member_Master!A:B, 2, FALSE)</f>
        <v>M190</v>
      </c>
      <c r="D262" t="s">
        <v>197</v>
      </c>
      <c r="E262">
        <v>1000</v>
      </c>
      <c r="F262" t="str">
        <f t="shared" si="12"/>
        <v>Monthly</v>
      </c>
      <c r="G262" t="s">
        <v>9</v>
      </c>
      <c r="H262" t="s">
        <v>7</v>
      </c>
      <c r="I262" s="2">
        <v>45839</v>
      </c>
      <c r="J262" s="2">
        <f t="shared" si="13"/>
        <v>45870</v>
      </c>
      <c r="K262" t="str">
        <f t="shared" si="14"/>
        <v>At Risk</v>
      </c>
    </row>
    <row r="263" spans="1:11" x14ac:dyDescent="0.3">
      <c r="A263">
        <v>317</v>
      </c>
      <c r="B263" s="2">
        <v>45841</v>
      </c>
      <c r="C263" t="str">
        <f>VLOOKUP(D263, Member_Master!A:B, 2, FALSE)</f>
        <v>M166</v>
      </c>
      <c r="D263" t="s">
        <v>173</v>
      </c>
      <c r="E263">
        <v>1000</v>
      </c>
      <c r="F263" t="str">
        <f t="shared" si="12"/>
        <v>Monthly</v>
      </c>
      <c r="G263" t="s">
        <v>9</v>
      </c>
      <c r="H263" t="s">
        <v>7</v>
      </c>
      <c r="I263" s="2">
        <v>45839</v>
      </c>
      <c r="J263" s="2">
        <f t="shared" si="13"/>
        <v>45871</v>
      </c>
      <c r="K263" t="str">
        <f t="shared" si="14"/>
        <v>At Risk</v>
      </c>
    </row>
    <row r="264" spans="1:11" x14ac:dyDescent="0.3">
      <c r="A264">
        <v>340</v>
      </c>
      <c r="B264" s="2">
        <v>45841</v>
      </c>
      <c r="C264" t="str">
        <f>VLOOKUP(D264, Member_Master!A:B, 2, FALSE)</f>
        <v>M180</v>
      </c>
      <c r="D264" t="s">
        <v>187</v>
      </c>
      <c r="E264">
        <v>1000</v>
      </c>
      <c r="F264" t="str">
        <f t="shared" si="12"/>
        <v>Monthly</v>
      </c>
      <c r="G264" t="s">
        <v>9</v>
      </c>
      <c r="H264" t="s">
        <v>7</v>
      </c>
      <c r="I264" s="2">
        <v>45839</v>
      </c>
      <c r="J264" s="2">
        <f t="shared" si="13"/>
        <v>45871</v>
      </c>
      <c r="K264" t="str">
        <f t="shared" si="14"/>
        <v>At Risk</v>
      </c>
    </row>
    <row r="265" spans="1:11" x14ac:dyDescent="0.3">
      <c r="A265">
        <v>370</v>
      </c>
      <c r="B265" s="2">
        <v>45841</v>
      </c>
      <c r="C265" t="str">
        <f>VLOOKUP(D265, Member_Master!A:B, 2, FALSE)</f>
        <v>M198</v>
      </c>
      <c r="D265" t="s">
        <v>205</v>
      </c>
      <c r="E265">
        <v>1000</v>
      </c>
      <c r="F265" t="str">
        <f t="shared" si="12"/>
        <v>Monthly</v>
      </c>
      <c r="G265" t="s">
        <v>9</v>
      </c>
      <c r="H265" t="s">
        <v>7</v>
      </c>
      <c r="I265" s="2">
        <v>45839</v>
      </c>
      <c r="J265" s="2">
        <f t="shared" si="13"/>
        <v>45871</v>
      </c>
      <c r="K265" t="str">
        <f t="shared" si="14"/>
        <v>At Risk</v>
      </c>
    </row>
    <row r="266" spans="1:11" x14ac:dyDescent="0.3">
      <c r="A266">
        <v>1</v>
      </c>
      <c r="B266" s="2">
        <v>45842</v>
      </c>
      <c r="C266" t="str">
        <f>VLOOKUP(D266, Member_Master!A:B, 2, FALSE)</f>
        <v>M001</v>
      </c>
      <c r="D266" t="s">
        <v>5</v>
      </c>
      <c r="E266">
        <v>1000</v>
      </c>
      <c r="F266" t="str">
        <f t="shared" si="12"/>
        <v>Monthly</v>
      </c>
      <c r="G266" t="s">
        <v>6</v>
      </c>
      <c r="H266" t="s">
        <v>7</v>
      </c>
      <c r="I266" s="2">
        <v>45839</v>
      </c>
      <c r="J266" s="2">
        <f t="shared" si="13"/>
        <v>45872</v>
      </c>
      <c r="K266" t="str">
        <f t="shared" si="14"/>
        <v>At Risk</v>
      </c>
    </row>
    <row r="267" spans="1:11" x14ac:dyDescent="0.3">
      <c r="A267">
        <v>64</v>
      </c>
      <c r="B267" s="2">
        <v>45842</v>
      </c>
      <c r="C267" t="str">
        <f>VLOOKUP(D267, Member_Master!A:B, 2, FALSE)</f>
        <v>M031</v>
      </c>
      <c r="D267" t="s">
        <v>38</v>
      </c>
      <c r="E267">
        <v>1000</v>
      </c>
      <c r="F267" t="str">
        <f t="shared" si="12"/>
        <v>Monthly</v>
      </c>
      <c r="G267" t="s">
        <v>9</v>
      </c>
      <c r="H267" t="s">
        <v>7</v>
      </c>
      <c r="I267" s="2">
        <v>45839</v>
      </c>
      <c r="J267" s="2">
        <f t="shared" si="13"/>
        <v>45872</v>
      </c>
      <c r="K267" t="str">
        <f t="shared" si="14"/>
        <v>At Risk</v>
      </c>
    </row>
    <row r="268" spans="1:11" x14ac:dyDescent="0.3">
      <c r="A268">
        <v>110</v>
      </c>
      <c r="B268" s="2">
        <v>45842</v>
      </c>
      <c r="C268" t="str">
        <f>VLOOKUP(D268, Member_Master!A:B, 2, FALSE)</f>
        <v>M056</v>
      </c>
      <c r="D268" t="s">
        <v>63</v>
      </c>
      <c r="E268">
        <v>2400</v>
      </c>
      <c r="F268" t="str">
        <f t="shared" si="12"/>
        <v>3 Months</v>
      </c>
      <c r="G268" t="s">
        <v>9</v>
      </c>
      <c r="H268" t="s">
        <v>7</v>
      </c>
      <c r="I268" s="2">
        <v>45839</v>
      </c>
      <c r="J268" s="2">
        <f t="shared" si="13"/>
        <v>45932</v>
      </c>
      <c r="K268" t="str">
        <f t="shared" si="14"/>
        <v>Active</v>
      </c>
    </row>
    <row r="269" spans="1:11" x14ac:dyDescent="0.3">
      <c r="A269">
        <v>137</v>
      </c>
      <c r="B269" s="2">
        <v>45842</v>
      </c>
      <c r="C269" t="str">
        <f>VLOOKUP(D269, Member_Master!A:B, 2, FALSE)</f>
        <v>M069</v>
      </c>
      <c r="D269" t="s">
        <v>76</v>
      </c>
      <c r="E269">
        <v>1000</v>
      </c>
      <c r="F269" t="str">
        <f t="shared" si="12"/>
        <v>Monthly</v>
      </c>
      <c r="G269" t="s">
        <v>6</v>
      </c>
      <c r="H269" t="s">
        <v>7</v>
      </c>
      <c r="I269" s="2">
        <v>45839</v>
      </c>
      <c r="J269" s="2">
        <f t="shared" si="13"/>
        <v>45872</v>
      </c>
      <c r="K269" t="str">
        <f t="shared" si="14"/>
        <v>At Risk</v>
      </c>
    </row>
    <row r="270" spans="1:11" x14ac:dyDescent="0.3">
      <c r="A270">
        <v>147</v>
      </c>
      <c r="B270" s="2">
        <v>45842</v>
      </c>
      <c r="C270" t="str">
        <f>VLOOKUP(D270, Member_Master!A:B, 2, FALSE)</f>
        <v>M071</v>
      </c>
      <c r="D270" t="s">
        <v>78</v>
      </c>
      <c r="E270">
        <v>1000</v>
      </c>
      <c r="F270" t="str">
        <f t="shared" si="12"/>
        <v>Monthly</v>
      </c>
      <c r="G270" t="s">
        <v>6</v>
      </c>
      <c r="H270" t="s">
        <v>7</v>
      </c>
      <c r="I270" s="2">
        <v>45839</v>
      </c>
      <c r="J270" s="2">
        <f t="shared" si="13"/>
        <v>45872</v>
      </c>
      <c r="K270" t="str">
        <f t="shared" si="14"/>
        <v>At Risk</v>
      </c>
    </row>
    <row r="271" spans="1:11" x14ac:dyDescent="0.3">
      <c r="A271">
        <v>150</v>
      </c>
      <c r="B271" s="2">
        <v>45842</v>
      </c>
      <c r="C271" t="str">
        <f>VLOOKUP(D271, Member_Master!A:B, 2, FALSE)</f>
        <v>M072</v>
      </c>
      <c r="D271" t="s">
        <v>79</v>
      </c>
      <c r="E271">
        <v>1000</v>
      </c>
      <c r="F271" t="str">
        <f t="shared" si="12"/>
        <v>Monthly</v>
      </c>
      <c r="G271" t="s">
        <v>9</v>
      </c>
      <c r="H271" t="s">
        <v>7</v>
      </c>
      <c r="I271" s="2">
        <v>45839</v>
      </c>
      <c r="J271" s="2">
        <f t="shared" si="13"/>
        <v>45872</v>
      </c>
      <c r="K271" t="str">
        <f t="shared" si="14"/>
        <v>At Risk</v>
      </c>
    </row>
    <row r="272" spans="1:11" x14ac:dyDescent="0.3">
      <c r="A272">
        <v>225</v>
      </c>
      <c r="B272" s="2">
        <v>45842</v>
      </c>
      <c r="C272" t="str">
        <f>VLOOKUP(D272, Member_Master!A:B, 2, FALSE)</f>
        <v>M108</v>
      </c>
      <c r="D272" t="s">
        <v>115</v>
      </c>
      <c r="E272">
        <v>1000</v>
      </c>
      <c r="F272" t="str">
        <f t="shared" si="12"/>
        <v>Monthly</v>
      </c>
      <c r="G272" t="s">
        <v>6</v>
      </c>
      <c r="H272" t="s">
        <v>7</v>
      </c>
      <c r="I272" s="2">
        <v>45839</v>
      </c>
      <c r="J272" s="2">
        <f t="shared" si="13"/>
        <v>45872</v>
      </c>
      <c r="K272" t="str">
        <f t="shared" si="14"/>
        <v>At Risk</v>
      </c>
    </row>
    <row r="273" spans="1:11" x14ac:dyDescent="0.3">
      <c r="A273">
        <v>364</v>
      </c>
      <c r="B273" s="2">
        <v>45842</v>
      </c>
      <c r="C273" t="str">
        <f>VLOOKUP(D273, Member_Master!A:B, 2, FALSE)</f>
        <v>M196</v>
      </c>
      <c r="D273" t="s">
        <v>203</v>
      </c>
      <c r="E273">
        <v>1000</v>
      </c>
      <c r="F273" t="str">
        <f t="shared" si="12"/>
        <v>Monthly</v>
      </c>
      <c r="G273" t="s">
        <v>6</v>
      </c>
      <c r="H273" t="s">
        <v>7</v>
      </c>
      <c r="I273" s="2">
        <v>45839</v>
      </c>
      <c r="J273" s="2">
        <f t="shared" si="13"/>
        <v>45872</v>
      </c>
      <c r="K273" t="str">
        <f t="shared" si="14"/>
        <v>At Risk</v>
      </c>
    </row>
    <row r="274" spans="1:11" x14ac:dyDescent="0.3">
      <c r="A274">
        <v>100</v>
      </c>
      <c r="B274" s="2">
        <v>45843</v>
      </c>
      <c r="C274" t="str">
        <f>VLOOKUP(D274, Member_Master!A:B, 2, FALSE)</f>
        <v>M051</v>
      </c>
      <c r="D274" t="s">
        <v>58</v>
      </c>
      <c r="E274">
        <v>800</v>
      </c>
      <c r="F274" t="str">
        <f t="shared" si="12"/>
        <v>Monthly</v>
      </c>
      <c r="G274" t="s">
        <v>6</v>
      </c>
      <c r="H274" t="s">
        <v>7</v>
      </c>
      <c r="I274" s="2">
        <v>45839</v>
      </c>
      <c r="J274" s="2">
        <f t="shared" si="13"/>
        <v>45873</v>
      </c>
      <c r="K274" t="str">
        <f t="shared" si="14"/>
        <v>At Risk</v>
      </c>
    </row>
    <row r="275" spans="1:11" x14ac:dyDescent="0.3">
      <c r="A275">
        <v>177</v>
      </c>
      <c r="B275" s="2">
        <v>45843</v>
      </c>
      <c r="C275" t="str">
        <f>VLOOKUP(D275, Member_Master!A:B, 2, FALSE)</f>
        <v>M081</v>
      </c>
      <c r="D275" t="s">
        <v>88</v>
      </c>
      <c r="E275">
        <v>2000</v>
      </c>
      <c r="F275" t="str">
        <f t="shared" si="12"/>
        <v>Monthly</v>
      </c>
      <c r="G275" t="s">
        <v>9</v>
      </c>
      <c r="H275" t="s">
        <v>467</v>
      </c>
      <c r="I275" s="2">
        <v>45839</v>
      </c>
      <c r="J275" s="2">
        <f t="shared" si="13"/>
        <v>45873</v>
      </c>
      <c r="K275" t="str">
        <f t="shared" si="14"/>
        <v>At Risk</v>
      </c>
    </row>
    <row r="276" spans="1:11" x14ac:dyDescent="0.3">
      <c r="A276">
        <v>194</v>
      </c>
      <c r="B276" s="2">
        <v>45843</v>
      </c>
      <c r="C276" t="str">
        <f>VLOOKUP(D276, Member_Master!A:B, 2, FALSE)</f>
        <v>M091</v>
      </c>
      <c r="D276" t="s">
        <v>98</v>
      </c>
      <c r="E276">
        <v>1000</v>
      </c>
      <c r="F276" t="str">
        <f t="shared" si="12"/>
        <v>Monthly</v>
      </c>
      <c r="G276" t="s">
        <v>9</v>
      </c>
      <c r="H276" t="s">
        <v>7</v>
      </c>
      <c r="I276" s="2">
        <v>45839</v>
      </c>
      <c r="J276" s="2">
        <f t="shared" si="13"/>
        <v>45873</v>
      </c>
      <c r="K276" t="str">
        <f t="shared" si="14"/>
        <v>At Risk</v>
      </c>
    </row>
    <row r="277" spans="1:11" x14ac:dyDescent="0.3">
      <c r="A277">
        <v>291</v>
      </c>
      <c r="B277" s="2">
        <v>45843</v>
      </c>
      <c r="C277" t="str">
        <f>VLOOKUP(D277, Member_Master!A:B, 2, FALSE)</f>
        <v>M147</v>
      </c>
      <c r="D277" t="s">
        <v>154</v>
      </c>
      <c r="E277">
        <v>3000</v>
      </c>
      <c r="F277" t="str">
        <f t="shared" si="12"/>
        <v>3 Months</v>
      </c>
      <c r="G277" t="s">
        <v>9</v>
      </c>
      <c r="H277" t="s">
        <v>467</v>
      </c>
      <c r="I277" s="2">
        <v>45839</v>
      </c>
      <c r="J277" s="2">
        <f t="shared" si="13"/>
        <v>45933</v>
      </c>
      <c r="K277" t="str">
        <f t="shared" si="14"/>
        <v>Active</v>
      </c>
    </row>
    <row r="278" spans="1:11" x14ac:dyDescent="0.3">
      <c r="A278">
        <v>352</v>
      </c>
      <c r="B278" s="2">
        <v>45843</v>
      </c>
      <c r="C278" t="str">
        <f>VLOOKUP(D278, Member_Master!A:B, 2, FALSE)</f>
        <v>M187</v>
      </c>
      <c r="D278" t="s">
        <v>194</v>
      </c>
      <c r="E278">
        <v>2400</v>
      </c>
      <c r="F278" t="str">
        <f t="shared" si="12"/>
        <v>3 Months</v>
      </c>
      <c r="G278" t="s">
        <v>6</v>
      </c>
      <c r="H278" t="s">
        <v>7</v>
      </c>
      <c r="I278" s="2">
        <v>45839</v>
      </c>
      <c r="J278" s="2">
        <f t="shared" si="13"/>
        <v>45933</v>
      </c>
      <c r="K278" t="str">
        <f t="shared" si="14"/>
        <v>Active</v>
      </c>
    </row>
    <row r="279" spans="1:11" x14ac:dyDescent="0.3">
      <c r="A279">
        <v>3</v>
      </c>
      <c r="B279" s="2">
        <v>45845</v>
      </c>
      <c r="C279" t="str">
        <f>VLOOKUP(D279, Member_Master!A:B, 2, FALSE)</f>
        <v>M002</v>
      </c>
      <c r="D279" t="s">
        <v>8</v>
      </c>
      <c r="E279">
        <v>1000</v>
      </c>
      <c r="F279" t="str">
        <f t="shared" si="12"/>
        <v>Monthly</v>
      </c>
      <c r="G279" t="s">
        <v>9</v>
      </c>
      <c r="H279" t="s">
        <v>7</v>
      </c>
      <c r="I279" s="2">
        <v>45839</v>
      </c>
      <c r="J279" s="2">
        <f t="shared" si="13"/>
        <v>45875</v>
      </c>
      <c r="K279" t="str">
        <f t="shared" si="14"/>
        <v>At Risk</v>
      </c>
    </row>
    <row r="280" spans="1:11" x14ac:dyDescent="0.3">
      <c r="A280">
        <v>12</v>
      </c>
      <c r="B280" s="2">
        <v>45845</v>
      </c>
      <c r="C280" t="str">
        <f>VLOOKUP(D280, Member_Master!A:B, 2, FALSE)</f>
        <v>M008</v>
      </c>
      <c r="D280" t="s">
        <v>15</v>
      </c>
      <c r="E280">
        <v>1000</v>
      </c>
      <c r="F280" t="str">
        <f t="shared" si="12"/>
        <v>Monthly</v>
      </c>
      <c r="G280" t="s">
        <v>9</v>
      </c>
      <c r="H280" t="s">
        <v>7</v>
      </c>
      <c r="I280" s="2">
        <v>45839</v>
      </c>
      <c r="J280" s="2">
        <f t="shared" si="13"/>
        <v>45875</v>
      </c>
      <c r="K280" t="str">
        <f t="shared" si="14"/>
        <v>At Risk</v>
      </c>
    </row>
    <row r="281" spans="1:11" x14ac:dyDescent="0.3">
      <c r="A281">
        <v>161</v>
      </c>
      <c r="B281" s="2">
        <v>45845</v>
      </c>
      <c r="C281" t="str">
        <f>VLOOKUP(D281, Member_Master!A:B, 2, FALSE)</f>
        <v>M076</v>
      </c>
      <c r="D281" t="s">
        <v>83</v>
      </c>
      <c r="E281">
        <v>3000</v>
      </c>
      <c r="F281" t="str">
        <f t="shared" si="12"/>
        <v>3 Months</v>
      </c>
      <c r="G281" t="s">
        <v>6</v>
      </c>
      <c r="H281" t="s">
        <v>467</v>
      </c>
      <c r="I281" s="2">
        <v>45839</v>
      </c>
      <c r="J281" s="2">
        <f t="shared" si="13"/>
        <v>45935</v>
      </c>
      <c r="K281" t="str">
        <f t="shared" si="14"/>
        <v>Active</v>
      </c>
    </row>
    <row r="282" spans="1:11" x14ac:dyDescent="0.3">
      <c r="A282">
        <v>201</v>
      </c>
      <c r="B282" s="2">
        <v>45845</v>
      </c>
      <c r="C282" t="str">
        <f>VLOOKUP(D282, Member_Master!A:B, 2, FALSE)</f>
        <v>M095</v>
      </c>
      <c r="D282" t="s">
        <v>102</v>
      </c>
      <c r="E282">
        <v>1000</v>
      </c>
      <c r="F282" t="str">
        <f t="shared" si="12"/>
        <v>Monthly</v>
      </c>
      <c r="G282" t="s">
        <v>9</v>
      </c>
      <c r="H282" t="s">
        <v>7</v>
      </c>
      <c r="I282" s="2">
        <v>45839</v>
      </c>
      <c r="J282" s="2">
        <f t="shared" si="13"/>
        <v>45875</v>
      </c>
      <c r="K282" t="str">
        <f t="shared" si="14"/>
        <v>At Risk</v>
      </c>
    </row>
    <row r="283" spans="1:11" x14ac:dyDescent="0.3">
      <c r="A283">
        <v>271</v>
      </c>
      <c r="B283" s="2">
        <v>45845</v>
      </c>
      <c r="C283" t="str">
        <f>VLOOKUP(D283, Member_Master!A:B, 2, FALSE)</f>
        <v>M133</v>
      </c>
      <c r="D283" t="s">
        <v>140</v>
      </c>
      <c r="E283">
        <v>1000</v>
      </c>
      <c r="F283" t="str">
        <f t="shared" si="12"/>
        <v>Monthly</v>
      </c>
      <c r="G283" t="s">
        <v>6</v>
      </c>
      <c r="H283" t="s">
        <v>7</v>
      </c>
      <c r="I283" s="2">
        <v>45839</v>
      </c>
      <c r="J283" s="2">
        <f t="shared" si="13"/>
        <v>45875</v>
      </c>
      <c r="K283" t="str">
        <f t="shared" si="14"/>
        <v>At Risk</v>
      </c>
    </row>
    <row r="284" spans="1:11" x14ac:dyDescent="0.3">
      <c r="A284">
        <v>368</v>
      </c>
      <c r="B284" s="2">
        <v>45845</v>
      </c>
      <c r="C284" t="str">
        <f>VLOOKUP(D284, Member_Master!A:B, 2, FALSE)</f>
        <v>M197</v>
      </c>
      <c r="D284" t="s">
        <v>204</v>
      </c>
      <c r="E284">
        <v>1000</v>
      </c>
      <c r="F284" t="str">
        <f t="shared" si="12"/>
        <v>Monthly</v>
      </c>
      <c r="G284" t="s">
        <v>9</v>
      </c>
      <c r="H284" t="s">
        <v>7</v>
      </c>
      <c r="I284" s="2">
        <v>45839</v>
      </c>
      <c r="J284" s="2">
        <f t="shared" si="13"/>
        <v>45875</v>
      </c>
      <c r="K284" t="str">
        <f t="shared" si="14"/>
        <v>At Risk</v>
      </c>
    </row>
    <row r="285" spans="1:11" x14ac:dyDescent="0.3">
      <c r="A285">
        <v>140</v>
      </c>
      <c r="B285" s="2">
        <v>45846</v>
      </c>
      <c r="C285" t="str">
        <f>VLOOKUP(D285, Member_Master!A:B, 2, FALSE)</f>
        <v>M070</v>
      </c>
      <c r="D285" t="s">
        <v>77</v>
      </c>
      <c r="E285">
        <v>3000</v>
      </c>
      <c r="F285" t="str">
        <f t="shared" si="12"/>
        <v>3 Months</v>
      </c>
      <c r="G285" t="s">
        <v>6</v>
      </c>
      <c r="H285" t="s">
        <v>467</v>
      </c>
      <c r="I285" s="2">
        <v>45839</v>
      </c>
      <c r="J285" s="2">
        <f t="shared" si="13"/>
        <v>45936</v>
      </c>
      <c r="K285" t="str">
        <f t="shared" si="14"/>
        <v>Active</v>
      </c>
    </row>
    <row r="286" spans="1:11" x14ac:dyDescent="0.3">
      <c r="A286">
        <v>184</v>
      </c>
      <c r="B286" s="2">
        <v>45846</v>
      </c>
      <c r="C286" t="str">
        <f>VLOOKUP(D286, Member_Master!A:B, 2, FALSE)</f>
        <v>M084</v>
      </c>
      <c r="D286" t="s">
        <v>91</v>
      </c>
      <c r="E286">
        <v>1000</v>
      </c>
      <c r="F286" t="str">
        <f t="shared" si="12"/>
        <v>Monthly</v>
      </c>
      <c r="G286" t="s">
        <v>9</v>
      </c>
      <c r="H286" t="s">
        <v>7</v>
      </c>
      <c r="I286" s="2">
        <v>45839</v>
      </c>
      <c r="J286" s="2">
        <f t="shared" si="13"/>
        <v>45876</v>
      </c>
      <c r="K286" t="str">
        <f t="shared" si="14"/>
        <v>At Risk</v>
      </c>
    </row>
    <row r="287" spans="1:11" x14ac:dyDescent="0.3">
      <c r="A287">
        <v>204</v>
      </c>
      <c r="B287" s="2">
        <v>45846</v>
      </c>
      <c r="C287" t="str">
        <f>VLOOKUP(D287, Member_Master!A:B, 2, FALSE)</f>
        <v>M098</v>
      </c>
      <c r="D287" t="s">
        <v>105</v>
      </c>
      <c r="E287">
        <v>3000</v>
      </c>
      <c r="F287" t="str">
        <f t="shared" si="12"/>
        <v>3 Months</v>
      </c>
      <c r="G287" t="s">
        <v>6</v>
      </c>
      <c r="H287" t="s">
        <v>467</v>
      </c>
      <c r="I287" s="2">
        <v>45839</v>
      </c>
      <c r="J287" s="2">
        <f t="shared" si="13"/>
        <v>45936</v>
      </c>
      <c r="K287" t="str">
        <f t="shared" si="14"/>
        <v>Active</v>
      </c>
    </row>
    <row r="288" spans="1:11" x14ac:dyDescent="0.3">
      <c r="A288">
        <v>69</v>
      </c>
      <c r="B288" s="2">
        <v>45847</v>
      </c>
      <c r="C288" t="str">
        <f>VLOOKUP(D288, Member_Master!A:B, 2, FALSE)</f>
        <v>M032</v>
      </c>
      <c r="D288" t="s">
        <v>39</v>
      </c>
      <c r="E288">
        <v>1000</v>
      </c>
      <c r="F288" t="str">
        <f t="shared" si="12"/>
        <v>Monthly</v>
      </c>
      <c r="G288" t="s">
        <v>9</v>
      </c>
      <c r="H288" t="s">
        <v>7</v>
      </c>
      <c r="I288" s="2">
        <v>45839</v>
      </c>
      <c r="J288" s="2">
        <f t="shared" si="13"/>
        <v>45877</v>
      </c>
      <c r="K288" t="str">
        <f t="shared" si="14"/>
        <v>At Risk</v>
      </c>
    </row>
    <row r="289" spans="1:11" x14ac:dyDescent="0.3">
      <c r="A289">
        <v>164</v>
      </c>
      <c r="B289" s="2">
        <v>45847</v>
      </c>
      <c r="C289" t="str">
        <f>VLOOKUP(D289, Member_Master!A:B, 2, FALSE)</f>
        <v>M078</v>
      </c>
      <c r="D289" t="s">
        <v>85</v>
      </c>
      <c r="E289">
        <v>1500</v>
      </c>
      <c r="F289" t="str">
        <f t="shared" si="12"/>
        <v>Monthly</v>
      </c>
      <c r="G289" t="s">
        <v>6</v>
      </c>
      <c r="H289" t="s">
        <v>7</v>
      </c>
      <c r="I289" s="2">
        <v>45839</v>
      </c>
      <c r="J289" s="2">
        <f t="shared" si="13"/>
        <v>45877</v>
      </c>
      <c r="K289" t="str">
        <f t="shared" si="14"/>
        <v>At Risk</v>
      </c>
    </row>
    <row r="290" spans="1:11" x14ac:dyDescent="0.3">
      <c r="A290">
        <v>243</v>
      </c>
      <c r="B290" s="2">
        <v>45847</v>
      </c>
      <c r="C290" t="str">
        <f>VLOOKUP(D290, Member_Master!A:B, 2, FALSE)</f>
        <v>M117</v>
      </c>
      <c r="D290" t="s">
        <v>124</v>
      </c>
      <c r="E290">
        <v>1000</v>
      </c>
      <c r="F290" t="str">
        <f t="shared" si="12"/>
        <v>Monthly</v>
      </c>
      <c r="G290" t="s">
        <v>9</v>
      </c>
      <c r="H290" t="s">
        <v>7</v>
      </c>
      <c r="I290" s="2">
        <v>45839</v>
      </c>
      <c r="J290" s="2">
        <f t="shared" si="13"/>
        <v>45877</v>
      </c>
      <c r="K290" t="str">
        <f t="shared" si="14"/>
        <v>At Risk</v>
      </c>
    </row>
    <row r="291" spans="1:11" x14ac:dyDescent="0.3">
      <c r="A291">
        <v>61</v>
      </c>
      <c r="B291" s="2">
        <v>45848</v>
      </c>
      <c r="C291" t="str">
        <f>VLOOKUP(D291, Member_Master!A:B, 2, FALSE)</f>
        <v>M030</v>
      </c>
      <c r="D291" t="s">
        <v>37</v>
      </c>
      <c r="E291">
        <v>1000</v>
      </c>
      <c r="F291" t="str">
        <f t="shared" si="12"/>
        <v>Monthly</v>
      </c>
      <c r="G291" t="s">
        <v>6</v>
      </c>
      <c r="H291" t="s">
        <v>7</v>
      </c>
      <c r="I291" s="2">
        <v>45839</v>
      </c>
      <c r="J291" s="2">
        <f t="shared" si="13"/>
        <v>45878</v>
      </c>
      <c r="K291" t="str">
        <f t="shared" si="14"/>
        <v>At Risk</v>
      </c>
    </row>
    <row r="292" spans="1:11" x14ac:dyDescent="0.3">
      <c r="A292">
        <v>77</v>
      </c>
      <c r="B292" s="2">
        <v>45848</v>
      </c>
      <c r="C292" t="str">
        <f>VLOOKUP(D292, Member_Master!A:B, 2, FALSE)</f>
        <v>M037</v>
      </c>
      <c r="D292" t="s">
        <v>44</v>
      </c>
      <c r="E292">
        <v>1000</v>
      </c>
      <c r="F292" t="str">
        <f t="shared" si="12"/>
        <v>Monthly</v>
      </c>
      <c r="G292" t="s">
        <v>9</v>
      </c>
      <c r="H292" t="s">
        <v>7</v>
      </c>
      <c r="I292" s="2">
        <v>45839</v>
      </c>
      <c r="J292" s="2">
        <f t="shared" si="13"/>
        <v>45878</v>
      </c>
      <c r="K292" t="str">
        <f t="shared" si="14"/>
        <v>At Risk</v>
      </c>
    </row>
    <row r="293" spans="1:11" x14ac:dyDescent="0.3">
      <c r="A293">
        <v>213</v>
      </c>
      <c r="B293" s="2">
        <v>45848</v>
      </c>
      <c r="C293" t="str">
        <f>VLOOKUP(D293, Member_Master!A:B, 2, FALSE)</f>
        <v>M102</v>
      </c>
      <c r="D293" t="s">
        <v>109</v>
      </c>
      <c r="E293">
        <v>1000</v>
      </c>
      <c r="F293" t="str">
        <f t="shared" si="12"/>
        <v>Monthly</v>
      </c>
      <c r="G293" t="s">
        <v>6</v>
      </c>
      <c r="H293" t="s">
        <v>7</v>
      </c>
      <c r="I293" s="2">
        <v>45839</v>
      </c>
      <c r="J293" s="2">
        <f t="shared" si="13"/>
        <v>45878</v>
      </c>
      <c r="K293" t="str">
        <f t="shared" si="14"/>
        <v>At Risk</v>
      </c>
    </row>
    <row r="294" spans="1:11" x14ac:dyDescent="0.3">
      <c r="A294">
        <v>273</v>
      </c>
      <c r="B294" s="2">
        <v>45848</v>
      </c>
      <c r="C294" t="str">
        <f>VLOOKUP(D294, Member_Master!A:B, 2, FALSE)</f>
        <v>M134</v>
      </c>
      <c r="D294" t="s">
        <v>141</v>
      </c>
      <c r="E294">
        <v>1000</v>
      </c>
      <c r="F294" t="str">
        <f t="shared" si="12"/>
        <v>Monthly</v>
      </c>
      <c r="G294" t="s">
        <v>9</v>
      </c>
      <c r="H294" t="s">
        <v>7</v>
      </c>
      <c r="I294" s="2">
        <v>45839</v>
      </c>
      <c r="J294" s="2">
        <f t="shared" si="13"/>
        <v>45878</v>
      </c>
      <c r="K294" t="str">
        <f t="shared" si="14"/>
        <v>At Risk</v>
      </c>
    </row>
    <row r="295" spans="1:11" x14ac:dyDescent="0.3">
      <c r="A295">
        <v>127</v>
      </c>
      <c r="B295" s="2">
        <v>45849</v>
      </c>
      <c r="C295" t="str">
        <f>VLOOKUP(D295, Member_Master!A:B, 2, FALSE)</f>
        <v>M065</v>
      </c>
      <c r="D295" t="s">
        <v>72</v>
      </c>
      <c r="E295">
        <v>1000</v>
      </c>
      <c r="F295" t="str">
        <f t="shared" si="12"/>
        <v>Monthly</v>
      </c>
      <c r="G295" t="s">
        <v>6</v>
      </c>
      <c r="H295" t="s">
        <v>7</v>
      </c>
      <c r="I295" s="2">
        <v>45839</v>
      </c>
      <c r="J295" s="2">
        <f t="shared" si="13"/>
        <v>45879</v>
      </c>
      <c r="K295" t="str">
        <f t="shared" si="14"/>
        <v>At Risk</v>
      </c>
    </row>
    <row r="296" spans="1:11" x14ac:dyDescent="0.3">
      <c r="A296">
        <v>229</v>
      </c>
      <c r="B296" s="2">
        <v>45849</v>
      </c>
      <c r="C296" t="str">
        <f>VLOOKUP(D296, Member_Master!A:B, 2, FALSE)</f>
        <v>M111</v>
      </c>
      <c r="D296" t="s">
        <v>118</v>
      </c>
      <c r="E296">
        <v>800</v>
      </c>
      <c r="F296" t="str">
        <f t="shared" si="12"/>
        <v>Monthly</v>
      </c>
      <c r="G296" t="s">
        <v>6</v>
      </c>
      <c r="H296" t="s">
        <v>7</v>
      </c>
      <c r="I296" s="2">
        <v>45839</v>
      </c>
      <c r="J296" s="2">
        <f t="shared" si="13"/>
        <v>45879</v>
      </c>
      <c r="K296" t="str">
        <f t="shared" si="14"/>
        <v>At Risk</v>
      </c>
    </row>
    <row r="297" spans="1:11" x14ac:dyDescent="0.3">
      <c r="A297">
        <v>316</v>
      </c>
      <c r="B297" s="2">
        <v>45849</v>
      </c>
      <c r="C297" t="str">
        <f>VLOOKUP(D297, Member_Master!A:B, 2, FALSE)</f>
        <v>M165</v>
      </c>
      <c r="D297" t="s">
        <v>172</v>
      </c>
      <c r="E297">
        <v>1000</v>
      </c>
      <c r="F297" t="str">
        <f t="shared" si="12"/>
        <v>Monthly</v>
      </c>
      <c r="G297" t="s">
        <v>6</v>
      </c>
      <c r="H297" t="s">
        <v>7</v>
      </c>
      <c r="I297" s="2">
        <v>45839</v>
      </c>
      <c r="J297" s="2">
        <f t="shared" si="13"/>
        <v>45879</v>
      </c>
      <c r="K297" t="str">
        <f t="shared" si="14"/>
        <v>At Risk</v>
      </c>
    </row>
    <row r="298" spans="1:11" x14ac:dyDescent="0.3">
      <c r="A298">
        <v>325</v>
      </c>
      <c r="B298" s="2">
        <v>45849</v>
      </c>
      <c r="C298" t="str">
        <f>VLOOKUP(D298, Member_Master!A:B, 2, FALSE)</f>
        <v>M172</v>
      </c>
      <c r="D298" t="s">
        <v>179</v>
      </c>
      <c r="E298">
        <v>1000</v>
      </c>
      <c r="F298" t="str">
        <f t="shared" si="12"/>
        <v>Monthly</v>
      </c>
      <c r="G298" t="s">
        <v>6</v>
      </c>
      <c r="H298" t="s">
        <v>7</v>
      </c>
      <c r="I298" s="2">
        <v>45839</v>
      </c>
      <c r="J298" s="2">
        <f t="shared" si="13"/>
        <v>45879</v>
      </c>
      <c r="K298" t="str">
        <f t="shared" si="14"/>
        <v>At Risk</v>
      </c>
    </row>
    <row r="299" spans="1:11" x14ac:dyDescent="0.3">
      <c r="A299">
        <v>219</v>
      </c>
      <c r="B299" s="2">
        <v>45850</v>
      </c>
      <c r="C299" t="str">
        <f>VLOOKUP(D299, Member_Master!A:B, 2, FALSE)</f>
        <v>M106</v>
      </c>
      <c r="D299" t="s">
        <v>113</v>
      </c>
      <c r="E299">
        <v>1000</v>
      </c>
      <c r="F299" t="str">
        <f t="shared" si="12"/>
        <v>Monthly</v>
      </c>
      <c r="G299" t="s">
        <v>6</v>
      </c>
      <c r="H299" t="s">
        <v>7</v>
      </c>
      <c r="I299" s="2">
        <v>45839</v>
      </c>
      <c r="J299" s="2">
        <f t="shared" si="13"/>
        <v>45880</v>
      </c>
      <c r="K299" t="str">
        <f t="shared" si="14"/>
        <v>At Risk</v>
      </c>
    </row>
    <row r="300" spans="1:11" x14ac:dyDescent="0.3">
      <c r="A300">
        <v>23</v>
      </c>
      <c r="B300" s="2">
        <v>45852</v>
      </c>
      <c r="C300" t="str">
        <f>VLOOKUP(D300, Member_Master!A:B, 2, FALSE)</f>
        <v>M011</v>
      </c>
      <c r="D300" t="s">
        <v>18</v>
      </c>
      <c r="E300">
        <v>1000</v>
      </c>
      <c r="F300" t="str">
        <f t="shared" si="12"/>
        <v>Monthly</v>
      </c>
      <c r="G300" t="s">
        <v>9</v>
      </c>
      <c r="H300" t="s">
        <v>7</v>
      </c>
      <c r="I300" s="2">
        <v>45839</v>
      </c>
      <c r="J300" s="2">
        <f t="shared" si="13"/>
        <v>45882</v>
      </c>
      <c r="K300" t="str">
        <f t="shared" si="14"/>
        <v>At Risk</v>
      </c>
    </row>
    <row r="301" spans="1:11" x14ac:dyDescent="0.3">
      <c r="A301">
        <v>87</v>
      </c>
      <c r="B301" s="2">
        <v>45852</v>
      </c>
      <c r="C301" t="str">
        <f>VLOOKUP(D301, Member_Master!A:B, 2, FALSE)</f>
        <v>M042</v>
      </c>
      <c r="D301" t="s">
        <v>49</v>
      </c>
      <c r="E301">
        <v>1000</v>
      </c>
      <c r="F301" t="str">
        <f t="shared" si="12"/>
        <v>Monthly</v>
      </c>
      <c r="G301" t="s">
        <v>9</v>
      </c>
      <c r="H301" t="s">
        <v>7</v>
      </c>
      <c r="I301" s="2">
        <v>45839</v>
      </c>
      <c r="J301" s="2">
        <f t="shared" si="13"/>
        <v>45882</v>
      </c>
      <c r="K301" t="str">
        <f t="shared" si="14"/>
        <v>At Risk</v>
      </c>
    </row>
    <row r="302" spans="1:11" x14ac:dyDescent="0.3">
      <c r="A302">
        <v>211</v>
      </c>
      <c r="B302" s="2">
        <v>45852</v>
      </c>
      <c r="C302" t="str">
        <f>VLOOKUP(D302, Member_Master!A:B, 2, FALSE)</f>
        <v>M101</v>
      </c>
      <c r="D302" t="s">
        <v>108</v>
      </c>
      <c r="E302">
        <v>1000</v>
      </c>
      <c r="F302" t="str">
        <f t="shared" si="12"/>
        <v>Monthly</v>
      </c>
      <c r="G302" t="s">
        <v>9</v>
      </c>
      <c r="H302" t="s">
        <v>7</v>
      </c>
      <c r="I302" s="2">
        <v>45839</v>
      </c>
      <c r="J302" s="2">
        <f t="shared" si="13"/>
        <v>45882</v>
      </c>
      <c r="K302" t="str">
        <f t="shared" si="14"/>
        <v>At Risk</v>
      </c>
    </row>
    <row r="303" spans="1:11" x14ac:dyDescent="0.3">
      <c r="A303">
        <v>309</v>
      </c>
      <c r="B303" s="2">
        <v>45852</v>
      </c>
      <c r="C303" t="str">
        <f>VLOOKUP(D303, Member_Master!A:B, 2, FALSE)</f>
        <v>M159</v>
      </c>
      <c r="D303" t="s">
        <v>166</v>
      </c>
      <c r="E303">
        <v>1000</v>
      </c>
      <c r="F303" t="str">
        <f t="shared" si="12"/>
        <v>Monthly</v>
      </c>
      <c r="G303" t="s">
        <v>6</v>
      </c>
      <c r="H303" t="s">
        <v>7</v>
      </c>
      <c r="I303" s="2">
        <v>45839</v>
      </c>
      <c r="J303" s="2">
        <f t="shared" si="13"/>
        <v>45882</v>
      </c>
      <c r="K303" t="str">
        <f t="shared" si="14"/>
        <v>At Risk</v>
      </c>
    </row>
    <row r="304" spans="1:11" x14ac:dyDescent="0.3">
      <c r="A304">
        <v>82</v>
      </c>
      <c r="B304" s="2">
        <v>45853</v>
      </c>
      <c r="C304" t="str">
        <f>VLOOKUP(D304, Member_Master!A:B, 2, FALSE)</f>
        <v>M038</v>
      </c>
      <c r="D304" t="s">
        <v>45</v>
      </c>
      <c r="E304">
        <v>2000</v>
      </c>
      <c r="F304" t="str">
        <f t="shared" si="12"/>
        <v>Monthly</v>
      </c>
      <c r="G304" t="s">
        <v>6</v>
      </c>
      <c r="H304" t="s">
        <v>467</v>
      </c>
      <c r="I304" s="2">
        <v>45839</v>
      </c>
      <c r="J304" s="2">
        <f t="shared" si="13"/>
        <v>45883</v>
      </c>
      <c r="K304" t="str">
        <f t="shared" si="14"/>
        <v>At Risk</v>
      </c>
    </row>
    <row r="305" spans="1:11" x14ac:dyDescent="0.3">
      <c r="A305">
        <v>106</v>
      </c>
      <c r="B305" s="2">
        <v>45853</v>
      </c>
      <c r="C305" t="str">
        <f>VLOOKUP(D305, Member_Master!A:B, 2, FALSE)</f>
        <v>M053</v>
      </c>
      <c r="D305" t="s">
        <v>60</v>
      </c>
      <c r="E305">
        <v>1000</v>
      </c>
      <c r="F305" t="str">
        <f t="shared" si="12"/>
        <v>Monthly</v>
      </c>
      <c r="G305" t="s">
        <v>6</v>
      </c>
      <c r="H305" t="s">
        <v>7</v>
      </c>
      <c r="I305" s="2">
        <v>45839</v>
      </c>
      <c r="J305" s="2">
        <f t="shared" si="13"/>
        <v>45883</v>
      </c>
      <c r="K305" t="str">
        <f t="shared" si="14"/>
        <v>At Risk</v>
      </c>
    </row>
    <row r="306" spans="1:11" x14ac:dyDescent="0.3">
      <c r="A306">
        <v>47</v>
      </c>
      <c r="B306" s="2">
        <v>45854</v>
      </c>
      <c r="C306" t="str">
        <f>VLOOKUP(D306, Member_Master!A:B, 2, FALSE)</f>
        <v>M024</v>
      </c>
      <c r="D306" t="s">
        <v>31</v>
      </c>
      <c r="E306">
        <v>1000</v>
      </c>
      <c r="F306" t="str">
        <f t="shared" si="12"/>
        <v>Monthly</v>
      </c>
      <c r="G306" t="s">
        <v>6</v>
      </c>
      <c r="H306" t="s">
        <v>7</v>
      </c>
      <c r="I306" s="2">
        <v>45839</v>
      </c>
      <c r="J306" s="2">
        <f t="shared" si="13"/>
        <v>45884</v>
      </c>
      <c r="K306" t="str">
        <f t="shared" si="14"/>
        <v>At Risk</v>
      </c>
    </row>
    <row r="307" spans="1:11" x14ac:dyDescent="0.3">
      <c r="A307">
        <v>37</v>
      </c>
      <c r="B307" s="2">
        <v>45855</v>
      </c>
      <c r="C307" t="str">
        <f>VLOOKUP(D307, Member_Master!A:B, 2, FALSE)</f>
        <v>M019</v>
      </c>
      <c r="D307" t="s">
        <v>26</v>
      </c>
      <c r="E307">
        <v>1000</v>
      </c>
      <c r="F307" t="str">
        <f t="shared" si="12"/>
        <v>Monthly</v>
      </c>
      <c r="G307" t="s">
        <v>6</v>
      </c>
      <c r="H307" t="s">
        <v>7</v>
      </c>
      <c r="I307" s="2">
        <v>45839</v>
      </c>
      <c r="J307" s="2">
        <f t="shared" si="13"/>
        <v>45885</v>
      </c>
      <c r="K307" t="str">
        <f t="shared" si="14"/>
        <v>At Risk</v>
      </c>
    </row>
    <row r="308" spans="1:11" x14ac:dyDescent="0.3">
      <c r="A308">
        <v>307</v>
      </c>
      <c r="B308" s="2">
        <v>45855</v>
      </c>
      <c r="C308" t="str">
        <f>VLOOKUP(D308, Member_Master!A:B, 2, FALSE)</f>
        <v>M157</v>
      </c>
      <c r="D308" t="s">
        <v>164</v>
      </c>
      <c r="E308">
        <v>2000</v>
      </c>
      <c r="F308" t="str">
        <f t="shared" si="12"/>
        <v>Monthly</v>
      </c>
      <c r="G308" t="s">
        <v>9</v>
      </c>
      <c r="H308" t="s">
        <v>467</v>
      </c>
      <c r="I308" s="2">
        <v>45839</v>
      </c>
      <c r="J308" s="2">
        <f t="shared" si="13"/>
        <v>45885</v>
      </c>
      <c r="K308" t="str">
        <f t="shared" si="14"/>
        <v>At Risk</v>
      </c>
    </row>
    <row r="309" spans="1:11" x14ac:dyDescent="0.3">
      <c r="A309">
        <v>29</v>
      </c>
      <c r="B309" s="2">
        <v>45856</v>
      </c>
      <c r="C309" t="str">
        <f>VLOOKUP(D309, Member_Master!A:B, 2, FALSE)</f>
        <v>M014</v>
      </c>
      <c r="D309" t="s">
        <v>21</v>
      </c>
      <c r="E309">
        <v>1000</v>
      </c>
      <c r="F309" t="str">
        <f t="shared" si="12"/>
        <v>Monthly</v>
      </c>
      <c r="G309" t="s">
        <v>9</v>
      </c>
      <c r="H309" t="s">
        <v>7</v>
      </c>
      <c r="I309" s="2">
        <v>45839</v>
      </c>
      <c r="J309" s="2">
        <f t="shared" si="13"/>
        <v>45886</v>
      </c>
      <c r="K309" t="str">
        <f t="shared" si="14"/>
        <v>At Risk</v>
      </c>
    </row>
    <row r="310" spans="1:11" x14ac:dyDescent="0.3">
      <c r="A310">
        <v>206</v>
      </c>
      <c r="B310" s="2">
        <v>45859</v>
      </c>
      <c r="C310" t="str">
        <f>VLOOKUP(D310, Member_Master!A:B, 2, FALSE)</f>
        <v>M099</v>
      </c>
      <c r="D310" t="s">
        <v>106</v>
      </c>
      <c r="E310">
        <v>1000</v>
      </c>
      <c r="F310" t="str">
        <f t="shared" si="12"/>
        <v>Monthly</v>
      </c>
      <c r="G310" t="s">
        <v>6</v>
      </c>
      <c r="H310" t="s">
        <v>7</v>
      </c>
      <c r="I310" s="2">
        <v>45839</v>
      </c>
      <c r="J310" s="2">
        <f t="shared" si="13"/>
        <v>45889</v>
      </c>
      <c r="K310" t="str">
        <f t="shared" si="14"/>
        <v>At Risk</v>
      </c>
    </row>
    <row r="311" spans="1:11" x14ac:dyDescent="0.3">
      <c r="A311">
        <v>247</v>
      </c>
      <c r="B311" s="2">
        <v>45859</v>
      </c>
      <c r="C311" t="str">
        <f>VLOOKUP(D311, Member_Master!A:B, 2, FALSE)</f>
        <v>M118</v>
      </c>
      <c r="D311" t="s">
        <v>125</v>
      </c>
      <c r="E311">
        <v>2400</v>
      </c>
      <c r="F311" t="str">
        <f t="shared" si="12"/>
        <v>3 Months</v>
      </c>
      <c r="G311" t="s">
        <v>9</v>
      </c>
      <c r="H311" t="s">
        <v>7</v>
      </c>
      <c r="I311" s="2">
        <v>45839</v>
      </c>
      <c r="J311" s="2">
        <f t="shared" si="13"/>
        <v>45949</v>
      </c>
      <c r="K311" t="str">
        <f t="shared" si="14"/>
        <v>Active</v>
      </c>
    </row>
    <row r="312" spans="1:11" x14ac:dyDescent="0.3">
      <c r="A312">
        <v>274</v>
      </c>
      <c r="B312" s="2">
        <v>45859</v>
      </c>
      <c r="C312" t="str">
        <f>VLOOKUP(D312, Member_Master!A:B, 2, FALSE)</f>
        <v>M135</v>
      </c>
      <c r="D312" t="s">
        <v>142</v>
      </c>
      <c r="E312">
        <v>1000</v>
      </c>
      <c r="F312" t="str">
        <f t="shared" si="12"/>
        <v>Monthly</v>
      </c>
      <c r="G312" t="s">
        <v>6</v>
      </c>
      <c r="H312" t="s">
        <v>7</v>
      </c>
      <c r="I312" s="2">
        <v>45839</v>
      </c>
      <c r="J312" s="2">
        <f t="shared" si="13"/>
        <v>45889</v>
      </c>
      <c r="K312" t="str">
        <f t="shared" si="14"/>
        <v>At Risk</v>
      </c>
    </row>
    <row r="313" spans="1:11" x14ac:dyDescent="0.3">
      <c r="A313">
        <v>38</v>
      </c>
      <c r="B313" s="2">
        <v>45860</v>
      </c>
      <c r="C313" t="str">
        <f>VLOOKUP(D313, Member_Master!A:B, 2, FALSE)</f>
        <v>M019</v>
      </c>
      <c r="D313" t="s">
        <v>26</v>
      </c>
      <c r="E313">
        <v>1000</v>
      </c>
      <c r="F313" t="str">
        <f t="shared" si="12"/>
        <v>Monthly</v>
      </c>
      <c r="G313" t="s">
        <v>6</v>
      </c>
      <c r="H313" t="s">
        <v>7</v>
      </c>
      <c r="I313" s="2">
        <v>45839</v>
      </c>
      <c r="J313" s="2">
        <f t="shared" si="13"/>
        <v>45890</v>
      </c>
      <c r="K313" t="str">
        <f t="shared" si="14"/>
        <v>At Risk</v>
      </c>
    </row>
    <row r="314" spans="1:11" x14ac:dyDescent="0.3">
      <c r="A314">
        <v>42</v>
      </c>
      <c r="B314" s="2">
        <v>45861</v>
      </c>
      <c r="C314" t="str">
        <f>VLOOKUP(D314, Member_Master!A:B, 2, FALSE)</f>
        <v>M021</v>
      </c>
      <c r="D314" t="s">
        <v>28</v>
      </c>
      <c r="E314">
        <v>1000</v>
      </c>
      <c r="F314" t="str">
        <f t="shared" si="12"/>
        <v>Monthly</v>
      </c>
      <c r="G314" t="s">
        <v>6</v>
      </c>
      <c r="H314" t="s">
        <v>7</v>
      </c>
      <c r="I314" s="2">
        <v>45839</v>
      </c>
      <c r="J314" s="2">
        <f t="shared" si="13"/>
        <v>45891</v>
      </c>
      <c r="K314" t="str">
        <f t="shared" si="14"/>
        <v>At Risk</v>
      </c>
    </row>
    <row r="315" spans="1:11" x14ac:dyDescent="0.3">
      <c r="A315">
        <v>336</v>
      </c>
      <c r="B315" s="2">
        <v>45862</v>
      </c>
      <c r="C315" t="str">
        <f>VLOOKUP(D315, Member_Master!A:B, 2, FALSE)</f>
        <v>M177</v>
      </c>
      <c r="D315" t="s">
        <v>184</v>
      </c>
      <c r="E315">
        <v>1000</v>
      </c>
      <c r="F315" t="str">
        <f t="shared" si="12"/>
        <v>Monthly</v>
      </c>
      <c r="G315" t="s">
        <v>6</v>
      </c>
      <c r="H315" t="s">
        <v>7</v>
      </c>
      <c r="I315" s="2">
        <v>45839</v>
      </c>
      <c r="J315" s="2">
        <f t="shared" si="13"/>
        <v>45892</v>
      </c>
      <c r="K315" t="str">
        <f t="shared" si="14"/>
        <v>At Risk</v>
      </c>
    </row>
    <row r="316" spans="1:11" x14ac:dyDescent="0.3">
      <c r="A316">
        <v>363</v>
      </c>
      <c r="B316" s="2">
        <v>45862</v>
      </c>
      <c r="C316" t="str">
        <f>VLOOKUP(D316, Member_Master!A:B, 2, FALSE)</f>
        <v>M195</v>
      </c>
      <c r="D316" t="s">
        <v>202</v>
      </c>
      <c r="E316">
        <v>800</v>
      </c>
      <c r="F316" t="str">
        <f t="shared" si="12"/>
        <v>Monthly</v>
      </c>
      <c r="G316" t="s">
        <v>9</v>
      </c>
      <c r="H316" t="s">
        <v>7</v>
      </c>
      <c r="I316" s="2">
        <v>45839</v>
      </c>
      <c r="J316" s="2">
        <f t="shared" si="13"/>
        <v>45892</v>
      </c>
      <c r="K316" t="str">
        <f t="shared" si="14"/>
        <v>At Risk</v>
      </c>
    </row>
    <row r="317" spans="1:11" x14ac:dyDescent="0.3">
      <c r="A317">
        <v>4</v>
      </c>
      <c r="B317" s="2">
        <v>45863</v>
      </c>
      <c r="C317" t="str">
        <f>VLOOKUP(D317, Member_Master!A:B, 2, FALSE)</f>
        <v>M003</v>
      </c>
      <c r="D317" t="s">
        <v>10</v>
      </c>
      <c r="E317">
        <v>4000</v>
      </c>
      <c r="F317" t="str">
        <f t="shared" si="12"/>
        <v>3 Months</v>
      </c>
      <c r="G317" t="s">
        <v>9</v>
      </c>
      <c r="H317" t="s">
        <v>7</v>
      </c>
      <c r="I317" s="2">
        <v>45839</v>
      </c>
      <c r="J317" s="2">
        <f t="shared" si="13"/>
        <v>45953</v>
      </c>
      <c r="K317" t="str">
        <f t="shared" si="14"/>
        <v>Active</v>
      </c>
    </row>
    <row r="318" spans="1:11" x14ac:dyDescent="0.3">
      <c r="A318">
        <v>132</v>
      </c>
      <c r="B318" s="2">
        <v>45863</v>
      </c>
      <c r="C318" t="str">
        <f>VLOOKUP(D318, Member_Master!A:B, 2, FALSE)</f>
        <v>M067</v>
      </c>
      <c r="D318" t="s">
        <v>74</v>
      </c>
      <c r="E318">
        <v>1000</v>
      </c>
      <c r="F318" t="str">
        <f t="shared" si="12"/>
        <v>Monthly</v>
      </c>
      <c r="G318" t="s">
        <v>9</v>
      </c>
      <c r="H318" t="s">
        <v>7</v>
      </c>
      <c r="I318" s="2">
        <v>45839</v>
      </c>
      <c r="J318" s="2">
        <f t="shared" si="13"/>
        <v>45893</v>
      </c>
      <c r="K318" t="str">
        <f t="shared" si="14"/>
        <v>At Risk</v>
      </c>
    </row>
    <row r="319" spans="1:11" x14ac:dyDescent="0.3">
      <c r="A319">
        <v>154</v>
      </c>
      <c r="B319" s="2">
        <v>45866</v>
      </c>
      <c r="C319" t="str">
        <f>VLOOKUP(D319, Member_Master!A:B, 2, FALSE)</f>
        <v>M072</v>
      </c>
      <c r="D319" t="s">
        <v>79</v>
      </c>
      <c r="E319">
        <v>1000</v>
      </c>
      <c r="F319" t="str">
        <f t="shared" si="12"/>
        <v>Monthly</v>
      </c>
      <c r="G319" t="s">
        <v>6</v>
      </c>
      <c r="H319" t="s">
        <v>7</v>
      </c>
      <c r="I319" s="2">
        <v>45839</v>
      </c>
      <c r="J319" s="2">
        <f t="shared" si="13"/>
        <v>45896</v>
      </c>
      <c r="K319" t="str">
        <f t="shared" si="14"/>
        <v>At Risk</v>
      </c>
    </row>
    <row r="320" spans="1:11" x14ac:dyDescent="0.3">
      <c r="A320">
        <v>318</v>
      </c>
      <c r="B320" s="2">
        <v>45866</v>
      </c>
      <c r="C320" t="str">
        <f>VLOOKUP(D320, Member_Master!A:B, 2, FALSE)</f>
        <v>M167</v>
      </c>
      <c r="D320" t="s">
        <v>174</v>
      </c>
      <c r="E320">
        <v>1000</v>
      </c>
      <c r="F320" t="str">
        <f t="shared" si="12"/>
        <v>Monthly</v>
      </c>
      <c r="G320" t="s">
        <v>6</v>
      </c>
      <c r="H320" t="s">
        <v>7</v>
      </c>
      <c r="I320" s="2">
        <v>45839</v>
      </c>
      <c r="J320" s="2">
        <f t="shared" si="13"/>
        <v>45896</v>
      </c>
      <c r="K320" t="str">
        <f t="shared" si="14"/>
        <v>At Risk</v>
      </c>
    </row>
    <row r="321" spans="1:11" x14ac:dyDescent="0.3">
      <c r="A321">
        <v>214</v>
      </c>
      <c r="B321" s="2">
        <v>45867</v>
      </c>
      <c r="C321" t="str">
        <f>VLOOKUP(D321, Member_Master!A:B, 2, FALSE)</f>
        <v>M102</v>
      </c>
      <c r="D321" t="s">
        <v>109</v>
      </c>
      <c r="E321">
        <v>600</v>
      </c>
      <c r="F321" t="str">
        <f t="shared" si="12"/>
        <v>Monthly</v>
      </c>
      <c r="G321" t="s">
        <v>6</v>
      </c>
      <c r="H321" t="s">
        <v>7</v>
      </c>
      <c r="I321" s="2">
        <v>45839</v>
      </c>
      <c r="J321" s="2">
        <f t="shared" si="13"/>
        <v>45897</v>
      </c>
      <c r="K321" t="str">
        <f t="shared" si="14"/>
        <v>At Risk</v>
      </c>
    </row>
    <row r="322" spans="1:11" x14ac:dyDescent="0.3">
      <c r="A322">
        <v>259</v>
      </c>
      <c r="B322" s="2">
        <v>45867</v>
      </c>
      <c r="C322" t="str">
        <f>VLOOKUP(D322, Member_Master!A:B, 2, FALSE)</f>
        <v>M126</v>
      </c>
      <c r="D322" t="s">
        <v>133</v>
      </c>
      <c r="E322">
        <v>1000</v>
      </c>
      <c r="F322" t="str">
        <f t="shared" si="12"/>
        <v>Monthly</v>
      </c>
      <c r="G322" t="s">
        <v>6</v>
      </c>
      <c r="H322" t="s">
        <v>7</v>
      </c>
      <c r="I322" s="2">
        <v>45839</v>
      </c>
      <c r="J322" s="2">
        <f t="shared" si="13"/>
        <v>45897</v>
      </c>
      <c r="K322" t="str">
        <f t="shared" si="14"/>
        <v>At Risk</v>
      </c>
    </row>
    <row r="323" spans="1:11" x14ac:dyDescent="0.3">
      <c r="A323">
        <v>74</v>
      </c>
      <c r="B323" s="2">
        <v>45868</v>
      </c>
      <c r="C323" t="str">
        <f>VLOOKUP(D323, Member_Master!A:B, 2, FALSE)</f>
        <v>M035</v>
      </c>
      <c r="D323" t="s">
        <v>42</v>
      </c>
      <c r="E323">
        <v>1000</v>
      </c>
      <c r="F323" t="str">
        <f t="shared" si="12"/>
        <v>Monthly</v>
      </c>
      <c r="G323" t="s">
        <v>6</v>
      </c>
      <c r="H323" t="s">
        <v>7</v>
      </c>
      <c r="I323" s="2">
        <v>45839</v>
      </c>
      <c r="J323" s="2">
        <f t="shared" si="13"/>
        <v>45898</v>
      </c>
      <c r="K323" t="str">
        <f t="shared" si="14"/>
        <v>At Risk</v>
      </c>
    </row>
    <row r="324" spans="1:11" x14ac:dyDescent="0.3">
      <c r="A324">
        <v>117</v>
      </c>
      <c r="B324" s="2">
        <v>45869</v>
      </c>
      <c r="C324" t="str">
        <f>VLOOKUP(D324, Member_Master!A:B, 2, FALSE)</f>
        <v>M060</v>
      </c>
      <c r="D324" t="s">
        <v>67</v>
      </c>
      <c r="E324">
        <v>500</v>
      </c>
      <c r="F324" t="str">
        <f t="shared" ref="F324:F387" si="15">IF(E324&lt;=2200,"Monthly",IF(E324&lt;=4500,"3 Months",
IF(E324&lt;=7000,"6 Months",
"Yearly")))</f>
        <v>Monthly</v>
      </c>
      <c r="G324" t="s">
        <v>6</v>
      </c>
      <c r="H324" t="s">
        <v>7</v>
      </c>
      <c r="I324" s="2">
        <v>45839</v>
      </c>
      <c r="J324" s="2">
        <f t="shared" ref="J324:J380" si="16">IF(F324="Monthly",B324+30,IF(F324="3 Months",B324+90,IF(F324="6 Months",B324+180,IF(F324="Yearly",B324+365,"Check Plan"))))</f>
        <v>45899</v>
      </c>
      <c r="K324" t="str">
        <f t="shared" ref="K324:K387" si="17">IF($N$4&lt;=J324,"Active",IF($N$4-J324&lt;=30,"At Risk","Churn Risk"))</f>
        <v>At Risk</v>
      </c>
    </row>
    <row r="325" spans="1:11" x14ac:dyDescent="0.3">
      <c r="A325">
        <v>195</v>
      </c>
      <c r="B325" s="2">
        <v>45869</v>
      </c>
      <c r="C325" t="str">
        <f>VLOOKUP(D325, Member_Master!A:B, 2, FALSE)</f>
        <v>M091</v>
      </c>
      <c r="D325" t="s">
        <v>98</v>
      </c>
      <c r="E325">
        <v>1000</v>
      </c>
      <c r="F325" t="str">
        <f t="shared" si="15"/>
        <v>Monthly</v>
      </c>
      <c r="G325" t="s">
        <v>6</v>
      </c>
      <c r="H325" t="s">
        <v>7</v>
      </c>
      <c r="I325" s="2">
        <v>45839</v>
      </c>
      <c r="J325" s="2">
        <f t="shared" si="16"/>
        <v>45899</v>
      </c>
      <c r="K325" t="str">
        <f t="shared" si="17"/>
        <v>At Risk</v>
      </c>
    </row>
    <row r="326" spans="1:11" x14ac:dyDescent="0.3">
      <c r="A326">
        <v>255</v>
      </c>
      <c r="B326" s="2">
        <v>45870</v>
      </c>
      <c r="C326" t="str">
        <f>VLOOKUP(D326, Member_Master!A:B, 2, FALSE)</f>
        <v>M125</v>
      </c>
      <c r="D326" t="s">
        <v>132</v>
      </c>
      <c r="E326">
        <v>1000</v>
      </c>
      <c r="F326" t="str">
        <f t="shared" si="15"/>
        <v>Monthly</v>
      </c>
      <c r="G326" t="s">
        <v>9</v>
      </c>
      <c r="H326" t="s">
        <v>7</v>
      </c>
      <c r="I326" s="2">
        <v>45870</v>
      </c>
      <c r="J326" s="2">
        <f t="shared" si="16"/>
        <v>45900</v>
      </c>
      <c r="K326" t="str">
        <f t="shared" si="17"/>
        <v>Active</v>
      </c>
    </row>
    <row r="327" spans="1:11" x14ac:dyDescent="0.3">
      <c r="A327">
        <v>292</v>
      </c>
      <c r="B327" s="2">
        <v>45870</v>
      </c>
      <c r="C327" t="str">
        <f>VLOOKUP(D327, Member_Master!A:B, 2, FALSE)</f>
        <v>M148</v>
      </c>
      <c r="D327" t="s">
        <v>155</v>
      </c>
      <c r="E327">
        <v>1000</v>
      </c>
      <c r="F327" t="str">
        <f t="shared" si="15"/>
        <v>Monthly</v>
      </c>
      <c r="G327" t="s">
        <v>6</v>
      </c>
      <c r="H327" t="s">
        <v>7</v>
      </c>
      <c r="I327" s="2">
        <v>45870</v>
      </c>
      <c r="J327" s="2">
        <f t="shared" si="16"/>
        <v>45900</v>
      </c>
      <c r="K327" t="str">
        <f t="shared" si="17"/>
        <v>Active</v>
      </c>
    </row>
    <row r="328" spans="1:11" x14ac:dyDescent="0.3">
      <c r="A328">
        <v>300</v>
      </c>
      <c r="B328" s="2">
        <v>45871</v>
      </c>
      <c r="C328" t="str">
        <f>VLOOKUP(D328, Member_Master!A:B, 2, FALSE)</f>
        <v>M153</v>
      </c>
      <c r="D328" t="s">
        <v>160</v>
      </c>
      <c r="E328">
        <v>1000</v>
      </c>
      <c r="F328" t="str">
        <f t="shared" si="15"/>
        <v>Monthly</v>
      </c>
      <c r="G328" t="s">
        <v>9</v>
      </c>
      <c r="H328" t="s">
        <v>7</v>
      </c>
      <c r="I328" s="2">
        <v>45870</v>
      </c>
      <c r="J328" s="2">
        <f t="shared" si="16"/>
        <v>45901</v>
      </c>
      <c r="K328" t="str">
        <f t="shared" si="17"/>
        <v>Active</v>
      </c>
    </row>
    <row r="329" spans="1:11" x14ac:dyDescent="0.3">
      <c r="A329">
        <v>111</v>
      </c>
      <c r="B329" s="2">
        <v>45872</v>
      </c>
      <c r="C329" t="str">
        <f>VLOOKUP(D329, Member_Master!A:B, 2, FALSE)</f>
        <v>M057</v>
      </c>
      <c r="D329" t="s">
        <v>64</v>
      </c>
      <c r="E329">
        <v>1000</v>
      </c>
      <c r="F329" t="str">
        <f t="shared" si="15"/>
        <v>Monthly</v>
      </c>
      <c r="G329" t="s">
        <v>9</v>
      </c>
      <c r="H329" t="s">
        <v>7</v>
      </c>
      <c r="I329" s="2">
        <v>45870</v>
      </c>
      <c r="J329" s="2">
        <f t="shared" si="16"/>
        <v>45902</v>
      </c>
      <c r="K329" t="str">
        <f t="shared" si="17"/>
        <v>Active</v>
      </c>
    </row>
    <row r="330" spans="1:11" x14ac:dyDescent="0.3">
      <c r="A330">
        <v>252</v>
      </c>
      <c r="B330" s="2">
        <v>45873</v>
      </c>
      <c r="C330" t="str">
        <f>VLOOKUP(D330, Member_Master!A:B, 2, FALSE)</f>
        <v>M122</v>
      </c>
      <c r="D330" t="s">
        <v>129</v>
      </c>
      <c r="E330">
        <v>1000</v>
      </c>
      <c r="F330" t="str">
        <f t="shared" si="15"/>
        <v>Monthly</v>
      </c>
      <c r="G330" t="s">
        <v>6</v>
      </c>
      <c r="H330" t="s">
        <v>7</v>
      </c>
      <c r="I330" s="2">
        <v>45870</v>
      </c>
      <c r="J330" s="2">
        <f t="shared" si="16"/>
        <v>45903</v>
      </c>
      <c r="K330" t="str">
        <f t="shared" si="17"/>
        <v>Active</v>
      </c>
    </row>
    <row r="331" spans="1:11" x14ac:dyDescent="0.3">
      <c r="A331">
        <v>313</v>
      </c>
      <c r="B331" s="2">
        <v>45873</v>
      </c>
      <c r="C331" t="str">
        <f>VLOOKUP(D331, Member_Master!A:B, 2, FALSE)</f>
        <v>M163</v>
      </c>
      <c r="D331" t="s">
        <v>170</v>
      </c>
      <c r="E331">
        <v>1000</v>
      </c>
      <c r="F331" t="str">
        <f t="shared" si="15"/>
        <v>Monthly</v>
      </c>
      <c r="G331" t="s">
        <v>6</v>
      </c>
      <c r="H331" t="s">
        <v>7</v>
      </c>
      <c r="I331" s="2">
        <v>45870</v>
      </c>
      <c r="J331" s="2">
        <f t="shared" si="16"/>
        <v>45903</v>
      </c>
      <c r="K331" t="str">
        <f t="shared" si="17"/>
        <v>Active</v>
      </c>
    </row>
    <row r="332" spans="1:11" x14ac:dyDescent="0.3">
      <c r="A332">
        <v>15</v>
      </c>
      <c r="B332" s="2">
        <v>45874</v>
      </c>
      <c r="C332" t="str">
        <f>VLOOKUP(D332, Member_Master!A:B, 2, FALSE)</f>
        <v>M009</v>
      </c>
      <c r="D332" t="s">
        <v>16</v>
      </c>
      <c r="E332">
        <v>1000</v>
      </c>
      <c r="F332" t="str">
        <f t="shared" si="15"/>
        <v>Monthly</v>
      </c>
      <c r="G332" t="s">
        <v>9</v>
      </c>
      <c r="H332" t="s">
        <v>7</v>
      </c>
      <c r="I332" s="2">
        <v>45870</v>
      </c>
      <c r="J332" s="2">
        <f t="shared" si="16"/>
        <v>45904</v>
      </c>
      <c r="K332" t="str">
        <f t="shared" si="17"/>
        <v>Active</v>
      </c>
    </row>
    <row r="333" spans="1:11" x14ac:dyDescent="0.3">
      <c r="A333">
        <v>57</v>
      </c>
      <c r="B333" s="2">
        <v>45874</v>
      </c>
      <c r="C333" t="str">
        <f>VLOOKUP(D333, Member_Master!A:B, 2, FALSE)</f>
        <v>M030</v>
      </c>
      <c r="D333" t="s">
        <v>37</v>
      </c>
      <c r="E333">
        <v>1000</v>
      </c>
      <c r="F333" t="str">
        <f t="shared" si="15"/>
        <v>Monthly</v>
      </c>
      <c r="G333" t="s">
        <v>6</v>
      </c>
      <c r="H333" t="s">
        <v>7</v>
      </c>
      <c r="I333" s="2">
        <v>45870</v>
      </c>
      <c r="J333" s="2">
        <f t="shared" si="16"/>
        <v>45904</v>
      </c>
      <c r="K333" t="str">
        <f t="shared" si="17"/>
        <v>Active</v>
      </c>
    </row>
    <row r="334" spans="1:11" x14ac:dyDescent="0.3">
      <c r="A334">
        <v>73</v>
      </c>
      <c r="B334" s="2">
        <v>45874</v>
      </c>
      <c r="C334" t="str">
        <f>VLOOKUP(D334, Member_Master!A:B, 2, FALSE)</f>
        <v>M034</v>
      </c>
      <c r="D334" t="s">
        <v>41</v>
      </c>
      <c r="E334">
        <v>1000</v>
      </c>
      <c r="F334" t="str">
        <f t="shared" si="15"/>
        <v>Monthly</v>
      </c>
      <c r="G334" t="s">
        <v>6</v>
      </c>
      <c r="H334" t="s">
        <v>7</v>
      </c>
      <c r="I334" s="2">
        <v>45870</v>
      </c>
      <c r="J334" s="2">
        <f t="shared" si="16"/>
        <v>45904</v>
      </c>
      <c r="K334" t="str">
        <f t="shared" si="17"/>
        <v>Active</v>
      </c>
    </row>
    <row r="335" spans="1:11" x14ac:dyDescent="0.3">
      <c r="A335">
        <v>86</v>
      </c>
      <c r="B335" s="2">
        <v>45874</v>
      </c>
      <c r="C335" t="str">
        <f>VLOOKUP(D335, Member_Master!A:B, 2, FALSE)</f>
        <v>M041</v>
      </c>
      <c r="D335" t="s">
        <v>48</v>
      </c>
      <c r="E335">
        <v>1000</v>
      </c>
      <c r="F335" t="str">
        <f t="shared" si="15"/>
        <v>Monthly</v>
      </c>
      <c r="G335" t="s">
        <v>9</v>
      </c>
      <c r="H335" t="s">
        <v>7</v>
      </c>
      <c r="I335" s="2">
        <v>45870</v>
      </c>
      <c r="J335" s="2">
        <f t="shared" si="16"/>
        <v>45904</v>
      </c>
      <c r="K335" t="str">
        <f t="shared" si="17"/>
        <v>Active</v>
      </c>
    </row>
    <row r="336" spans="1:11" x14ac:dyDescent="0.3">
      <c r="A336">
        <v>119</v>
      </c>
      <c r="B336" s="2">
        <v>45874</v>
      </c>
      <c r="C336" t="str">
        <f>VLOOKUP(D336, Member_Master!A:B, 2, FALSE)</f>
        <v>M062</v>
      </c>
      <c r="D336" t="s">
        <v>69</v>
      </c>
      <c r="E336">
        <v>2400</v>
      </c>
      <c r="F336" t="str">
        <f t="shared" si="15"/>
        <v>3 Months</v>
      </c>
      <c r="G336" t="s">
        <v>9</v>
      </c>
      <c r="H336" t="s">
        <v>7</v>
      </c>
      <c r="I336" s="2">
        <v>45870</v>
      </c>
      <c r="J336" s="2">
        <f t="shared" si="16"/>
        <v>45964</v>
      </c>
      <c r="K336" t="str">
        <f t="shared" si="17"/>
        <v>Active</v>
      </c>
    </row>
    <row r="337" spans="1:11" x14ac:dyDescent="0.3">
      <c r="A337">
        <v>155</v>
      </c>
      <c r="B337" s="2">
        <v>45874</v>
      </c>
      <c r="C337" t="str">
        <f>VLOOKUP(D337, Member_Master!A:B, 2, FALSE)</f>
        <v>M073</v>
      </c>
      <c r="D337" t="s">
        <v>80</v>
      </c>
      <c r="E337">
        <v>1000</v>
      </c>
      <c r="F337" t="str">
        <f t="shared" si="15"/>
        <v>Monthly</v>
      </c>
      <c r="G337" t="s">
        <v>6</v>
      </c>
      <c r="H337" t="s">
        <v>7</v>
      </c>
      <c r="I337" s="2">
        <v>45870</v>
      </c>
      <c r="J337" s="2">
        <f t="shared" si="16"/>
        <v>45904</v>
      </c>
      <c r="K337" t="str">
        <f t="shared" si="17"/>
        <v>Active</v>
      </c>
    </row>
    <row r="338" spans="1:11" x14ac:dyDescent="0.3">
      <c r="A338">
        <v>171</v>
      </c>
      <c r="B338" s="2">
        <v>45874</v>
      </c>
      <c r="C338" t="str">
        <f>VLOOKUP(D338, Member_Master!A:B, 2, FALSE)</f>
        <v>M080</v>
      </c>
      <c r="D338" t="s">
        <v>87</v>
      </c>
      <c r="E338">
        <v>1000</v>
      </c>
      <c r="F338" t="str">
        <f t="shared" si="15"/>
        <v>Monthly</v>
      </c>
      <c r="G338" t="s">
        <v>9</v>
      </c>
      <c r="H338" t="s">
        <v>7</v>
      </c>
      <c r="I338" s="2">
        <v>45870</v>
      </c>
      <c r="J338" s="2">
        <f t="shared" si="16"/>
        <v>45904</v>
      </c>
      <c r="K338" t="str">
        <f t="shared" si="17"/>
        <v>Active</v>
      </c>
    </row>
    <row r="339" spans="1:11" x14ac:dyDescent="0.3">
      <c r="A339">
        <v>182</v>
      </c>
      <c r="B339" s="2">
        <v>45874</v>
      </c>
      <c r="C339" t="str">
        <f>VLOOKUP(D339, Member_Master!A:B, 2, FALSE)</f>
        <v>M084</v>
      </c>
      <c r="D339" t="s">
        <v>91</v>
      </c>
      <c r="E339">
        <v>1000</v>
      </c>
      <c r="F339" t="str">
        <f t="shared" si="15"/>
        <v>Monthly</v>
      </c>
      <c r="G339" t="s">
        <v>9</v>
      </c>
      <c r="H339" t="s">
        <v>7</v>
      </c>
      <c r="I339" s="2">
        <v>45870</v>
      </c>
      <c r="J339" s="2">
        <f t="shared" si="16"/>
        <v>45904</v>
      </c>
      <c r="K339" t="str">
        <f t="shared" si="17"/>
        <v>Active</v>
      </c>
    </row>
    <row r="340" spans="1:11" x14ac:dyDescent="0.3">
      <c r="A340">
        <v>227</v>
      </c>
      <c r="B340" s="2">
        <v>45874</v>
      </c>
      <c r="C340" t="str">
        <f>VLOOKUP(D340, Member_Master!A:B, 2, FALSE)</f>
        <v>M110</v>
      </c>
      <c r="D340" t="s">
        <v>117</v>
      </c>
      <c r="E340">
        <v>2000</v>
      </c>
      <c r="F340" t="str">
        <f t="shared" si="15"/>
        <v>Monthly</v>
      </c>
      <c r="G340" t="s">
        <v>9</v>
      </c>
      <c r="H340" t="s">
        <v>467</v>
      </c>
      <c r="I340" s="2">
        <v>45870</v>
      </c>
      <c r="J340" s="2">
        <f t="shared" si="16"/>
        <v>45904</v>
      </c>
      <c r="K340" t="str">
        <f t="shared" si="17"/>
        <v>Active</v>
      </c>
    </row>
    <row r="341" spans="1:11" x14ac:dyDescent="0.3">
      <c r="A341">
        <v>236</v>
      </c>
      <c r="B341" s="2">
        <v>45874</v>
      </c>
      <c r="C341" t="str">
        <f>VLOOKUP(D341, Member_Master!A:B, 2, FALSE)</f>
        <v>M113</v>
      </c>
      <c r="D341" t="s">
        <v>120</v>
      </c>
      <c r="E341">
        <v>500</v>
      </c>
      <c r="F341" t="str">
        <f t="shared" si="15"/>
        <v>Monthly</v>
      </c>
      <c r="G341" t="s">
        <v>9</v>
      </c>
      <c r="H341" t="s">
        <v>7</v>
      </c>
      <c r="I341" s="2">
        <v>45870</v>
      </c>
      <c r="J341" s="2">
        <f t="shared" si="16"/>
        <v>45904</v>
      </c>
      <c r="K341" t="str">
        <f t="shared" si="17"/>
        <v>Active</v>
      </c>
    </row>
    <row r="342" spans="1:11" x14ac:dyDescent="0.3">
      <c r="A342">
        <v>269</v>
      </c>
      <c r="B342" s="2">
        <v>45874</v>
      </c>
      <c r="C342" t="str">
        <f>VLOOKUP(D342, Member_Master!A:B, 2, FALSE)</f>
        <v>M132</v>
      </c>
      <c r="D342" t="s">
        <v>139</v>
      </c>
      <c r="E342">
        <v>500</v>
      </c>
      <c r="F342" t="str">
        <f t="shared" si="15"/>
        <v>Monthly</v>
      </c>
      <c r="G342" t="s">
        <v>9</v>
      </c>
      <c r="H342" t="s">
        <v>7</v>
      </c>
      <c r="I342" s="2">
        <v>45870</v>
      </c>
      <c r="J342" s="2">
        <f t="shared" si="16"/>
        <v>45904</v>
      </c>
      <c r="K342" t="str">
        <f t="shared" si="17"/>
        <v>Active</v>
      </c>
    </row>
    <row r="343" spans="1:11" x14ac:dyDescent="0.3">
      <c r="A343">
        <v>354</v>
      </c>
      <c r="B343" s="2">
        <v>45874</v>
      </c>
      <c r="C343" t="str">
        <f>VLOOKUP(D343, Member_Master!A:B, 2, FALSE)</f>
        <v>M188</v>
      </c>
      <c r="D343" t="s">
        <v>195</v>
      </c>
      <c r="E343">
        <v>2400</v>
      </c>
      <c r="F343" t="str">
        <f t="shared" si="15"/>
        <v>3 Months</v>
      </c>
      <c r="G343" t="s">
        <v>6</v>
      </c>
      <c r="H343" t="s">
        <v>7</v>
      </c>
      <c r="I343" s="2">
        <v>45870</v>
      </c>
      <c r="J343" s="2">
        <f t="shared" si="16"/>
        <v>45964</v>
      </c>
      <c r="K343" t="str">
        <f t="shared" si="17"/>
        <v>Active</v>
      </c>
    </row>
    <row r="344" spans="1:11" x14ac:dyDescent="0.3">
      <c r="A344">
        <v>2</v>
      </c>
      <c r="B344" s="2">
        <v>45875</v>
      </c>
      <c r="C344" t="str">
        <f>VLOOKUP(D344, Member_Master!A:B, 2, FALSE)</f>
        <v>M002</v>
      </c>
      <c r="D344" t="s">
        <v>8</v>
      </c>
      <c r="E344">
        <v>1000</v>
      </c>
      <c r="F344" t="str">
        <f t="shared" si="15"/>
        <v>Monthly</v>
      </c>
      <c r="G344" t="s">
        <v>6</v>
      </c>
      <c r="H344" t="s">
        <v>7</v>
      </c>
      <c r="I344" s="2">
        <v>45870</v>
      </c>
      <c r="J344" s="2">
        <f t="shared" si="16"/>
        <v>45905</v>
      </c>
      <c r="K344" t="str">
        <f t="shared" si="17"/>
        <v>Active</v>
      </c>
    </row>
    <row r="345" spans="1:11" x14ac:dyDescent="0.3">
      <c r="A345">
        <v>10</v>
      </c>
      <c r="B345" s="2">
        <v>45875</v>
      </c>
      <c r="C345" t="str">
        <f>VLOOKUP(D345, Member_Master!A:B, 2, FALSE)</f>
        <v>M007</v>
      </c>
      <c r="D345" t="s">
        <v>14</v>
      </c>
      <c r="E345">
        <v>1000</v>
      </c>
      <c r="F345" t="str">
        <f t="shared" si="15"/>
        <v>Monthly</v>
      </c>
      <c r="G345" t="s">
        <v>6</v>
      </c>
      <c r="H345" t="s">
        <v>7</v>
      </c>
      <c r="I345" s="2">
        <v>45870</v>
      </c>
      <c r="J345" s="2">
        <f t="shared" si="16"/>
        <v>45905</v>
      </c>
      <c r="K345" t="str">
        <f t="shared" si="17"/>
        <v>Active</v>
      </c>
    </row>
    <row r="346" spans="1:11" x14ac:dyDescent="0.3">
      <c r="A346">
        <v>24</v>
      </c>
      <c r="B346" s="2">
        <v>45875</v>
      </c>
      <c r="C346" t="str">
        <f>VLOOKUP(D346, Member_Master!A:B, 2, FALSE)</f>
        <v>M012</v>
      </c>
      <c r="D346" t="s">
        <v>19</v>
      </c>
      <c r="E346">
        <v>1000</v>
      </c>
      <c r="F346" t="str">
        <f t="shared" si="15"/>
        <v>Monthly</v>
      </c>
      <c r="G346" t="s">
        <v>9</v>
      </c>
      <c r="H346" t="s">
        <v>7</v>
      </c>
      <c r="I346" s="2">
        <v>45870</v>
      </c>
      <c r="J346" s="2">
        <f t="shared" si="16"/>
        <v>45905</v>
      </c>
      <c r="K346" t="str">
        <f t="shared" si="17"/>
        <v>Active</v>
      </c>
    </row>
    <row r="347" spans="1:11" x14ac:dyDescent="0.3">
      <c r="A347">
        <v>36</v>
      </c>
      <c r="B347" s="2">
        <v>45875</v>
      </c>
      <c r="C347" t="str">
        <f>VLOOKUP(D347, Member_Master!A:B, 2, FALSE)</f>
        <v>M018</v>
      </c>
      <c r="D347" t="s">
        <v>25</v>
      </c>
      <c r="E347">
        <v>2000</v>
      </c>
      <c r="F347" t="str">
        <f t="shared" si="15"/>
        <v>Monthly</v>
      </c>
      <c r="G347" t="s">
        <v>6</v>
      </c>
      <c r="H347" t="s">
        <v>467</v>
      </c>
      <c r="I347" s="2">
        <v>45870</v>
      </c>
      <c r="J347" s="2">
        <f t="shared" si="16"/>
        <v>45905</v>
      </c>
      <c r="K347" t="str">
        <f t="shared" si="17"/>
        <v>Active</v>
      </c>
    </row>
    <row r="348" spans="1:11" x14ac:dyDescent="0.3">
      <c r="A348">
        <v>68</v>
      </c>
      <c r="B348" s="2">
        <v>45875</v>
      </c>
      <c r="C348" t="str">
        <f>VLOOKUP(D348, Member_Master!A:B, 2, FALSE)</f>
        <v>M032</v>
      </c>
      <c r="D348" t="s">
        <v>39</v>
      </c>
      <c r="E348">
        <v>1000</v>
      </c>
      <c r="F348" t="str">
        <f t="shared" si="15"/>
        <v>Monthly</v>
      </c>
      <c r="G348" t="s">
        <v>6</v>
      </c>
      <c r="H348" t="s">
        <v>7</v>
      </c>
      <c r="I348" s="2">
        <v>45870</v>
      </c>
      <c r="J348" s="2">
        <f t="shared" si="16"/>
        <v>45905</v>
      </c>
      <c r="K348" t="str">
        <f t="shared" si="17"/>
        <v>Active</v>
      </c>
    </row>
    <row r="349" spans="1:11" x14ac:dyDescent="0.3">
      <c r="A349">
        <v>101</v>
      </c>
      <c r="B349" s="2">
        <v>45875</v>
      </c>
      <c r="C349" t="str">
        <f>VLOOKUP(D349, Member_Master!A:B, 2, FALSE)</f>
        <v>M051</v>
      </c>
      <c r="D349" t="s">
        <v>58</v>
      </c>
      <c r="E349">
        <v>2000</v>
      </c>
      <c r="F349" t="str">
        <f t="shared" si="15"/>
        <v>Monthly</v>
      </c>
      <c r="G349" t="s">
        <v>9</v>
      </c>
      <c r="H349" t="s">
        <v>7</v>
      </c>
      <c r="I349" s="2">
        <v>45870</v>
      </c>
      <c r="J349" s="2">
        <f t="shared" si="16"/>
        <v>45905</v>
      </c>
      <c r="K349" t="str">
        <f t="shared" si="17"/>
        <v>Active</v>
      </c>
    </row>
    <row r="350" spans="1:11" x14ac:dyDescent="0.3">
      <c r="A350">
        <v>123</v>
      </c>
      <c r="B350" s="2">
        <v>45875</v>
      </c>
      <c r="C350" t="str">
        <f>VLOOKUP(D350, Member_Master!A:B, 2, FALSE)</f>
        <v>M065</v>
      </c>
      <c r="D350" t="s">
        <v>72</v>
      </c>
      <c r="E350">
        <v>1000</v>
      </c>
      <c r="F350" t="str">
        <f t="shared" si="15"/>
        <v>Monthly</v>
      </c>
      <c r="G350" t="s">
        <v>6</v>
      </c>
      <c r="H350" t="s">
        <v>7</v>
      </c>
      <c r="I350" s="2">
        <v>45870</v>
      </c>
      <c r="J350" s="2">
        <f t="shared" si="16"/>
        <v>45905</v>
      </c>
      <c r="K350" t="str">
        <f t="shared" si="17"/>
        <v>Active</v>
      </c>
    </row>
    <row r="351" spans="1:11" x14ac:dyDescent="0.3">
      <c r="A351">
        <v>138</v>
      </c>
      <c r="B351" s="2">
        <v>45875</v>
      </c>
      <c r="C351" t="str">
        <f>VLOOKUP(D351, Member_Master!A:B, 2, FALSE)</f>
        <v>M069</v>
      </c>
      <c r="D351" t="s">
        <v>76</v>
      </c>
      <c r="E351">
        <v>1000</v>
      </c>
      <c r="F351" t="str">
        <f t="shared" si="15"/>
        <v>Monthly</v>
      </c>
      <c r="G351" t="s">
        <v>6</v>
      </c>
      <c r="H351" t="s">
        <v>7</v>
      </c>
      <c r="I351" s="2">
        <v>45870</v>
      </c>
      <c r="J351" s="2">
        <f t="shared" si="16"/>
        <v>45905</v>
      </c>
      <c r="K351" t="str">
        <f t="shared" si="17"/>
        <v>Active</v>
      </c>
    </row>
    <row r="352" spans="1:11" x14ac:dyDescent="0.3">
      <c r="A352">
        <v>176</v>
      </c>
      <c r="B352" s="2">
        <v>45875</v>
      </c>
      <c r="C352" t="str">
        <f>VLOOKUP(D352, Member_Master!A:B, 2, FALSE)</f>
        <v>M081</v>
      </c>
      <c r="D352" t="s">
        <v>88</v>
      </c>
      <c r="E352">
        <v>2000</v>
      </c>
      <c r="F352" t="str">
        <f t="shared" si="15"/>
        <v>Monthly</v>
      </c>
      <c r="G352" t="s">
        <v>9</v>
      </c>
      <c r="H352" t="s">
        <v>7</v>
      </c>
      <c r="I352" s="2">
        <v>45870</v>
      </c>
      <c r="J352" s="2">
        <f t="shared" si="16"/>
        <v>45905</v>
      </c>
      <c r="K352" t="str">
        <f t="shared" si="17"/>
        <v>Active</v>
      </c>
    </row>
    <row r="353" spans="1:11" x14ac:dyDescent="0.3">
      <c r="A353">
        <v>190</v>
      </c>
      <c r="B353" s="2">
        <v>45875</v>
      </c>
      <c r="C353" t="str">
        <f>VLOOKUP(D353, Member_Master!A:B, 2, FALSE)</f>
        <v>M087</v>
      </c>
      <c r="D353" t="s">
        <v>94</v>
      </c>
      <c r="E353">
        <v>1000</v>
      </c>
      <c r="F353" t="str">
        <f t="shared" si="15"/>
        <v>Monthly</v>
      </c>
      <c r="G353" t="s">
        <v>6</v>
      </c>
      <c r="H353" t="s">
        <v>7</v>
      </c>
      <c r="I353" s="2">
        <v>45870</v>
      </c>
      <c r="J353" s="2">
        <f t="shared" si="16"/>
        <v>45905</v>
      </c>
      <c r="K353" t="str">
        <f t="shared" si="17"/>
        <v>Active</v>
      </c>
    </row>
    <row r="354" spans="1:11" x14ac:dyDescent="0.3">
      <c r="A354">
        <v>216</v>
      </c>
      <c r="B354" s="2">
        <v>45875</v>
      </c>
      <c r="C354" t="str">
        <f>VLOOKUP(D354, Member_Master!A:B, 2, FALSE)</f>
        <v>M104</v>
      </c>
      <c r="D354" t="s">
        <v>111</v>
      </c>
      <c r="E354">
        <v>1000</v>
      </c>
      <c r="F354" t="str">
        <f t="shared" si="15"/>
        <v>Monthly</v>
      </c>
      <c r="G354" t="s">
        <v>9</v>
      </c>
      <c r="H354" t="s">
        <v>7</v>
      </c>
      <c r="I354" s="2">
        <v>45870</v>
      </c>
      <c r="J354" s="2">
        <f t="shared" si="16"/>
        <v>45905</v>
      </c>
      <c r="K354" t="str">
        <f t="shared" si="17"/>
        <v>Active</v>
      </c>
    </row>
    <row r="355" spans="1:11" x14ac:dyDescent="0.3">
      <c r="A355">
        <v>372</v>
      </c>
      <c r="B355" s="2">
        <v>45875</v>
      </c>
      <c r="C355" t="str">
        <f>VLOOKUP(D355, Member_Master!A:B, 2, FALSE)</f>
        <v>M198</v>
      </c>
      <c r="D355" t="s">
        <v>205</v>
      </c>
      <c r="E355">
        <v>1000</v>
      </c>
      <c r="F355" t="str">
        <f t="shared" si="15"/>
        <v>Monthly</v>
      </c>
      <c r="G355" t="s">
        <v>9</v>
      </c>
      <c r="H355" t="s">
        <v>7</v>
      </c>
      <c r="I355" s="2">
        <v>45870</v>
      </c>
      <c r="J355" s="2">
        <f t="shared" si="16"/>
        <v>45905</v>
      </c>
      <c r="K355" t="str">
        <f t="shared" si="17"/>
        <v>Active</v>
      </c>
    </row>
    <row r="356" spans="1:11" x14ac:dyDescent="0.3">
      <c r="A356">
        <v>369</v>
      </c>
      <c r="B356" s="2">
        <v>45876</v>
      </c>
      <c r="C356" t="str">
        <f>VLOOKUP(D356, Member_Master!A:B, 2, FALSE)</f>
        <v>M197</v>
      </c>
      <c r="D356" t="s">
        <v>204</v>
      </c>
      <c r="E356">
        <v>1000</v>
      </c>
      <c r="F356" t="str">
        <f t="shared" si="15"/>
        <v>Monthly</v>
      </c>
      <c r="G356" t="s">
        <v>6</v>
      </c>
      <c r="H356" t="s">
        <v>7</v>
      </c>
      <c r="I356" s="2">
        <v>45870</v>
      </c>
      <c r="J356" s="2">
        <f t="shared" si="16"/>
        <v>45906</v>
      </c>
      <c r="K356" t="str">
        <f t="shared" si="17"/>
        <v>Active</v>
      </c>
    </row>
    <row r="357" spans="1:11" x14ac:dyDescent="0.3">
      <c r="A357">
        <v>141</v>
      </c>
      <c r="B357" s="2">
        <v>45877</v>
      </c>
      <c r="C357" t="str">
        <f>VLOOKUP(D357, Member_Master!A:B, 2, FALSE)</f>
        <v>M070</v>
      </c>
      <c r="D357" t="s">
        <v>77</v>
      </c>
      <c r="E357">
        <v>3000</v>
      </c>
      <c r="F357" t="str">
        <f t="shared" si="15"/>
        <v>3 Months</v>
      </c>
      <c r="G357" t="s">
        <v>6</v>
      </c>
      <c r="H357" t="s">
        <v>467</v>
      </c>
      <c r="I357" s="2">
        <v>45870</v>
      </c>
      <c r="J357" s="2">
        <f t="shared" si="16"/>
        <v>45967</v>
      </c>
      <c r="K357" t="str">
        <f t="shared" si="17"/>
        <v>Active</v>
      </c>
    </row>
    <row r="358" spans="1:11" x14ac:dyDescent="0.3">
      <c r="A358">
        <v>115</v>
      </c>
      <c r="B358" s="2">
        <v>45880</v>
      </c>
      <c r="C358" t="str">
        <f>VLOOKUP(D358, Member_Master!A:B, 2, FALSE)</f>
        <v>M059</v>
      </c>
      <c r="D358" t="s">
        <v>66</v>
      </c>
      <c r="E358">
        <v>1000</v>
      </c>
      <c r="F358" t="str">
        <f t="shared" si="15"/>
        <v>Monthly</v>
      </c>
      <c r="G358" t="s">
        <v>9</v>
      </c>
      <c r="H358" t="s">
        <v>7</v>
      </c>
      <c r="I358" s="2">
        <v>45870</v>
      </c>
      <c r="J358" s="2">
        <f t="shared" si="16"/>
        <v>45910</v>
      </c>
      <c r="K358" t="str">
        <f t="shared" si="17"/>
        <v>Active</v>
      </c>
    </row>
    <row r="359" spans="1:11" x14ac:dyDescent="0.3">
      <c r="A359">
        <v>268</v>
      </c>
      <c r="B359" s="2">
        <v>45880</v>
      </c>
      <c r="C359" t="str">
        <f>VLOOKUP(D359, Member_Master!A:B, 2, FALSE)</f>
        <v>M131</v>
      </c>
      <c r="D359" t="s">
        <v>138</v>
      </c>
      <c r="E359">
        <v>1000</v>
      </c>
      <c r="F359" t="str">
        <f t="shared" si="15"/>
        <v>Monthly</v>
      </c>
      <c r="G359" t="s">
        <v>9</v>
      </c>
      <c r="H359" t="s">
        <v>7</v>
      </c>
      <c r="I359" s="2">
        <v>45870</v>
      </c>
      <c r="J359" s="2">
        <f t="shared" si="16"/>
        <v>45910</v>
      </c>
      <c r="K359" t="str">
        <f t="shared" si="17"/>
        <v>Active</v>
      </c>
    </row>
    <row r="360" spans="1:11" x14ac:dyDescent="0.3">
      <c r="A360">
        <v>272</v>
      </c>
      <c r="B360" s="2">
        <v>45880</v>
      </c>
      <c r="C360" t="str">
        <f>VLOOKUP(D360, Member_Master!A:B, 2, FALSE)</f>
        <v>M134</v>
      </c>
      <c r="D360" t="s">
        <v>141</v>
      </c>
      <c r="E360">
        <v>1000</v>
      </c>
      <c r="F360" t="str">
        <f t="shared" si="15"/>
        <v>Monthly</v>
      </c>
      <c r="G360" t="s">
        <v>6</v>
      </c>
      <c r="H360" t="s">
        <v>7</v>
      </c>
      <c r="I360" s="2">
        <v>45870</v>
      </c>
      <c r="J360" s="2">
        <f t="shared" si="16"/>
        <v>45910</v>
      </c>
      <c r="K360" t="str">
        <f t="shared" si="17"/>
        <v>Active</v>
      </c>
    </row>
    <row r="361" spans="1:11" x14ac:dyDescent="0.3">
      <c r="A361">
        <v>284</v>
      </c>
      <c r="B361" s="2">
        <v>45880</v>
      </c>
      <c r="C361" t="str">
        <f>VLOOKUP(D361, Member_Master!A:B, 2, FALSE)</f>
        <v>M142</v>
      </c>
      <c r="D361" t="s">
        <v>149</v>
      </c>
      <c r="E361">
        <v>1000</v>
      </c>
      <c r="F361" t="str">
        <f t="shared" si="15"/>
        <v>Monthly</v>
      </c>
      <c r="G361" t="s">
        <v>6</v>
      </c>
      <c r="H361" t="s">
        <v>7</v>
      </c>
      <c r="I361" s="2">
        <v>45870</v>
      </c>
      <c r="J361" s="2">
        <f t="shared" si="16"/>
        <v>45910</v>
      </c>
      <c r="K361" t="str">
        <f t="shared" si="17"/>
        <v>Active</v>
      </c>
    </row>
    <row r="362" spans="1:11" x14ac:dyDescent="0.3">
      <c r="A362">
        <v>319</v>
      </c>
      <c r="B362" s="2">
        <v>45880</v>
      </c>
      <c r="C362" t="str">
        <f>VLOOKUP(D362, Member_Master!A:B, 2, FALSE)</f>
        <v>M168</v>
      </c>
      <c r="D362" t="s">
        <v>175</v>
      </c>
      <c r="E362">
        <v>1000</v>
      </c>
      <c r="F362" t="str">
        <f t="shared" si="15"/>
        <v>Monthly</v>
      </c>
      <c r="G362" t="s">
        <v>9</v>
      </c>
      <c r="H362" t="s">
        <v>7</v>
      </c>
      <c r="I362" s="2">
        <v>45870</v>
      </c>
      <c r="J362" s="2">
        <f t="shared" si="16"/>
        <v>45910</v>
      </c>
      <c r="K362" t="str">
        <f t="shared" si="17"/>
        <v>Active</v>
      </c>
    </row>
    <row r="363" spans="1:11" x14ac:dyDescent="0.3">
      <c r="A363">
        <v>149</v>
      </c>
      <c r="B363" s="2">
        <v>45881</v>
      </c>
      <c r="C363" t="str">
        <f>VLOOKUP(D363, Member_Master!A:B, 2, FALSE)</f>
        <v>M071</v>
      </c>
      <c r="D363" t="s">
        <v>78</v>
      </c>
      <c r="E363">
        <v>1000</v>
      </c>
      <c r="F363" t="str">
        <f t="shared" si="15"/>
        <v>Monthly</v>
      </c>
      <c r="G363" t="s">
        <v>9</v>
      </c>
      <c r="H363" t="s">
        <v>7</v>
      </c>
      <c r="I363" s="2">
        <v>45870</v>
      </c>
      <c r="J363" s="2">
        <f t="shared" si="16"/>
        <v>45911</v>
      </c>
      <c r="K363" t="str">
        <f t="shared" si="17"/>
        <v>Active</v>
      </c>
    </row>
    <row r="364" spans="1:11" x14ac:dyDescent="0.3">
      <c r="A364">
        <v>162</v>
      </c>
      <c r="B364" s="2">
        <v>45881</v>
      </c>
      <c r="C364" t="str">
        <f>VLOOKUP(D364, Member_Master!A:B, 2, FALSE)</f>
        <v>M076</v>
      </c>
      <c r="D364" t="s">
        <v>83</v>
      </c>
      <c r="E364">
        <v>3000</v>
      </c>
      <c r="F364" t="str">
        <f t="shared" si="15"/>
        <v>3 Months</v>
      </c>
      <c r="G364" t="s">
        <v>6</v>
      </c>
      <c r="H364" t="s">
        <v>467</v>
      </c>
      <c r="I364" s="2">
        <v>45870</v>
      </c>
      <c r="J364" s="2">
        <f t="shared" si="16"/>
        <v>45971</v>
      </c>
      <c r="K364" t="str">
        <f t="shared" si="17"/>
        <v>Active</v>
      </c>
    </row>
    <row r="365" spans="1:11" x14ac:dyDescent="0.3">
      <c r="A365">
        <v>248</v>
      </c>
      <c r="B365" s="2">
        <v>45881</v>
      </c>
      <c r="C365" t="str">
        <f>VLOOKUP(D365, Member_Master!A:B, 2, FALSE)</f>
        <v>M119</v>
      </c>
      <c r="D365" t="s">
        <v>126</v>
      </c>
      <c r="E365">
        <v>1000</v>
      </c>
      <c r="F365" t="str">
        <f t="shared" si="15"/>
        <v>Monthly</v>
      </c>
      <c r="G365" t="s">
        <v>6</v>
      </c>
      <c r="H365" t="s">
        <v>7</v>
      </c>
      <c r="I365" s="2">
        <v>45870</v>
      </c>
      <c r="J365" s="2">
        <f t="shared" si="16"/>
        <v>45911</v>
      </c>
      <c r="K365" t="str">
        <f t="shared" si="17"/>
        <v>Active</v>
      </c>
    </row>
    <row r="366" spans="1:11" x14ac:dyDescent="0.3">
      <c r="A366">
        <v>78</v>
      </c>
      <c r="B366" s="2">
        <v>45882</v>
      </c>
      <c r="C366" t="str">
        <f>VLOOKUP(D366, Member_Master!A:B, 2, FALSE)</f>
        <v>M037</v>
      </c>
      <c r="D366" t="s">
        <v>44</v>
      </c>
      <c r="E366">
        <v>1000</v>
      </c>
      <c r="F366" t="str">
        <f t="shared" si="15"/>
        <v>Monthly</v>
      </c>
      <c r="G366" t="s">
        <v>6</v>
      </c>
      <c r="H366" t="s">
        <v>7</v>
      </c>
      <c r="I366" s="2">
        <v>45870</v>
      </c>
      <c r="J366" s="2">
        <f t="shared" si="16"/>
        <v>45912</v>
      </c>
      <c r="K366" t="str">
        <f t="shared" si="17"/>
        <v>Active</v>
      </c>
    </row>
    <row r="367" spans="1:11" x14ac:dyDescent="0.3">
      <c r="A367">
        <v>9</v>
      </c>
      <c r="B367" s="2">
        <v>45883</v>
      </c>
      <c r="C367" t="str">
        <f>VLOOKUP(D367, Member_Master!A:B, 2, FALSE)</f>
        <v>M006</v>
      </c>
      <c r="D367" t="s">
        <v>13</v>
      </c>
      <c r="E367">
        <v>1000</v>
      </c>
      <c r="F367" t="str">
        <f t="shared" si="15"/>
        <v>Monthly</v>
      </c>
      <c r="G367" t="s">
        <v>6</v>
      </c>
      <c r="H367" t="s">
        <v>7</v>
      </c>
      <c r="I367" s="2">
        <v>45870</v>
      </c>
      <c r="J367" s="2">
        <f t="shared" si="16"/>
        <v>45913</v>
      </c>
      <c r="K367" t="str">
        <f t="shared" si="17"/>
        <v>Active</v>
      </c>
    </row>
    <row r="368" spans="1:11" x14ac:dyDescent="0.3">
      <c r="A368">
        <v>188</v>
      </c>
      <c r="B368" s="2">
        <v>45883</v>
      </c>
      <c r="C368" t="str">
        <f>VLOOKUP(D368, Member_Master!A:B, 2, FALSE)</f>
        <v>M086</v>
      </c>
      <c r="D368" t="s">
        <v>93</v>
      </c>
      <c r="E368">
        <v>1000</v>
      </c>
      <c r="F368" t="str">
        <f t="shared" si="15"/>
        <v>Monthly</v>
      </c>
      <c r="G368" t="s">
        <v>9</v>
      </c>
      <c r="H368" t="s">
        <v>7</v>
      </c>
      <c r="I368" s="2">
        <v>45870</v>
      </c>
      <c r="J368" s="2">
        <f t="shared" si="16"/>
        <v>45913</v>
      </c>
      <c r="K368" t="str">
        <f t="shared" si="17"/>
        <v>Active</v>
      </c>
    </row>
    <row r="369" spans="1:11" x14ac:dyDescent="0.3">
      <c r="A369">
        <v>205</v>
      </c>
      <c r="B369" s="2">
        <v>45883</v>
      </c>
      <c r="C369" t="str">
        <f>VLOOKUP(D369, Member_Master!A:B, 2, FALSE)</f>
        <v>M098</v>
      </c>
      <c r="D369" t="s">
        <v>105</v>
      </c>
      <c r="E369">
        <v>1000</v>
      </c>
      <c r="F369" t="str">
        <f t="shared" si="15"/>
        <v>Monthly</v>
      </c>
      <c r="G369" t="s">
        <v>6</v>
      </c>
      <c r="H369" t="s">
        <v>7</v>
      </c>
      <c r="I369" s="2">
        <v>45870</v>
      </c>
      <c r="J369" s="2">
        <f t="shared" si="16"/>
        <v>45913</v>
      </c>
      <c r="K369" t="str">
        <f t="shared" si="17"/>
        <v>Active</v>
      </c>
    </row>
    <row r="370" spans="1:11" x14ac:dyDescent="0.3">
      <c r="A370">
        <v>235</v>
      </c>
      <c r="B370" s="2">
        <v>45883</v>
      </c>
      <c r="C370" t="str">
        <f>VLOOKUP(D370, Member_Master!A:B, 2, FALSE)</f>
        <v>M112</v>
      </c>
      <c r="D370" t="s">
        <v>119</v>
      </c>
      <c r="E370">
        <v>1000</v>
      </c>
      <c r="F370" t="str">
        <f t="shared" si="15"/>
        <v>Monthly</v>
      </c>
      <c r="G370" t="s">
        <v>6</v>
      </c>
      <c r="H370" t="s">
        <v>7</v>
      </c>
      <c r="I370" s="2">
        <v>45870</v>
      </c>
      <c r="J370" s="2">
        <f t="shared" si="16"/>
        <v>45913</v>
      </c>
      <c r="K370" t="str">
        <f t="shared" si="17"/>
        <v>Active</v>
      </c>
    </row>
    <row r="371" spans="1:11" x14ac:dyDescent="0.3">
      <c r="A371">
        <v>306</v>
      </c>
      <c r="B371" s="2">
        <v>45883</v>
      </c>
      <c r="C371" t="str">
        <f>VLOOKUP(D371, Member_Master!A:B, 2, FALSE)</f>
        <v>M156</v>
      </c>
      <c r="D371" t="s">
        <v>163</v>
      </c>
      <c r="E371">
        <v>1000</v>
      </c>
      <c r="F371" t="str">
        <f t="shared" si="15"/>
        <v>Monthly</v>
      </c>
      <c r="G371" t="s">
        <v>6</v>
      </c>
      <c r="H371" t="s">
        <v>7</v>
      </c>
      <c r="I371" s="2">
        <v>45870</v>
      </c>
      <c r="J371" s="2">
        <f t="shared" si="16"/>
        <v>45913</v>
      </c>
      <c r="K371" t="str">
        <f t="shared" si="17"/>
        <v>Active</v>
      </c>
    </row>
    <row r="372" spans="1:11" x14ac:dyDescent="0.3">
      <c r="A372">
        <v>13</v>
      </c>
      <c r="B372" s="2">
        <v>45887</v>
      </c>
      <c r="C372" t="str">
        <f>VLOOKUP(D372, Member_Master!A:B, 2, FALSE)</f>
        <v>M008</v>
      </c>
      <c r="D372" t="s">
        <v>15</v>
      </c>
      <c r="E372">
        <v>1000</v>
      </c>
      <c r="F372" t="str">
        <f t="shared" si="15"/>
        <v>Monthly</v>
      </c>
      <c r="G372" t="s">
        <v>9</v>
      </c>
      <c r="H372" t="s">
        <v>7</v>
      </c>
      <c r="I372" s="2">
        <v>45870</v>
      </c>
      <c r="J372" s="2">
        <f t="shared" si="16"/>
        <v>45917</v>
      </c>
      <c r="K372" t="str">
        <f t="shared" si="17"/>
        <v>Active</v>
      </c>
    </row>
    <row r="373" spans="1:11" x14ac:dyDescent="0.3">
      <c r="A373">
        <v>244</v>
      </c>
      <c r="B373" s="2">
        <v>45887</v>
      </c>
      <c r="C373" t="str">
        <f>VLOOKUP(D373, Member_Master!A:B, 2, FALSE)</f>
        <v>M117</v>
      </c>
      <c r="D373" t="s">
        <v>124</v>
      </c>
      <c r="E373">
        <v>1000</v>
      </c>
      <c r="F373" t="str">
        <f t="shared" si="15"/>
        <v>Monthly</v>
      </c>
      <c r="G373" t="s">
        <v>6</v>
      </c>
      <c r="H373" t="s">
        <v>7</v>
      </c>
      <c r="I373" s="2">
        <v>45870</v>
      </c>
      <c r="J373" s="2">
        <f t="shared" si="16"/>
        <v>45917</v>
      </c>
      <c r="K373" t="str">
        <f t="shared" si="17"/>
        <v>Active</v>
      </c>
    </row>
    <row r="374" spans="1:11" x14ac:dyDescent="0.3">
      <c r="A374">
        <v>310</v>
      </c>
      <c r="B374" s="2">
        <v>45887</v>
      </c>
      <c r="C374" t="str">
        <f>VLOOKUP(D374, Member_Master!A:B, 2, FALSE)</f>
        <v>M160</v>
      </c>
      <c r="D374" t="s">
        <v>167</v>
      </c>
      <c r="E374">
        <v>1000</v>
      </c>
      <c r="F374" t="str">
        <f t="shared" si="15"/>
        <v>Monthly</v>
      </c>
      <c r="G374" t="s">
        <v>9</v>
      </c>
      <c r="H374" t="s">
        <v>7</v>
      </c>
      <c r="I374" s="2">
        <v>45870</v>
      </c>
      <c r="J374" s="2">
        <f t="shared" si="16"/>
        <v>45917</v>
      </c>
      <c r="K374" t="str">
        <f t="shared" si="17"/>
        <v>Active</v>
      </c>
    </row>
    <row r="375" spans="1:11" x14ac:dyDescent="0.3">
      <c r="A375">
        <v>328</v>
      </c>
      <c r="B375" s="2">
        <v>45887</v>
      </c>
      <c r="C375" t="str">
        <f>VLOOKUP(D375, Member_Master!A:B, 2, FALSE)</f>
        <v>M174</v>
      </c>
      <c r="D375" t="s">
        <v>181</v>
      </c>
      <c r="E375">
        <v>1000</v>
      </c>
      <c r="F375" t="str">
        <f t="shared" si="15"/>
        <v>Monthly</v>
      </c>
      <c r="G375" t="s">
        <v>9</v>
      </c>
      <c r="H375" t="s">
        <v>7</v>
      </c>
      <c r="I375" s="2">
        <v>45870</v>
      </c>
      <c r="J375" s="2">
        <f t="shared" si="16"/>
        <v>45917</v>
      </c>
      <c r="K375" t="str">
        <f t="shared" si="17"/>
        <v>Active</v>
      </c>
    </row>
    <row r="376" spans="1:11" x14ac:dyDescent="0.3">
      <c r="A376">
        <v>333</v>
      </c>
      <c r="B376" s="2">
        <v>45887</v>
      </c>
      <c r="C376" t="str">
        <f>VLOOKUP(D376, Member_Master!A:B, 2, FALSE)</f>
        <v>M177</v>
      </c>
      <c r="D376" t="s">
        <v>184</v>
      </c>
      <c r="E376">
        <v>1000</v>
      </c>
      <c r="F376" t="str">
        <f t="shared" si="15"/>
        <v>Monthly</v>
      </c>
      <c r="G376" t="s">
        <v>9</v>
      </c>
      <c r="H376" t="s">
        <v>7</v>
      </c>
      <c r="I376" s="2">
        <v>45870</v>
      </c>
      <c r="J376" s="2">
        <f t="shared" si="16"/>
        <v>45917</v>
      </c>
      <c r="K376" t="str">
        <f t="shared" si="17"/>
        <v>Active</v>
      </c>
    </row>
    <row r="377" spans="1:11" x14ac:dyDescent="0.3">
      <c r="A377">
        <v>349</v>
      </c>
      <c r="B377" s="2">
        <v>45887</v>
      </c>
      <c r="C377" t="str">
        <f>VLOOKUP(D377, Member_Master!A:B, 2, FALSE)</f>
        <v>M185</v>
      </c>
      <c r="D377" t="s">
        <v>192</v>
      </c>
      <c r="E377">
        <v>1000</v>
      </c>
      <c r="F377" t="str">
        <f t="shared" si="15"/>
        <v>Monthly</v>
      </c>
      <c r="G377" t="s">
        <v>9</v>
      </c>
      <c r="H377" t="s">
        <v>7</v>
      </c>
      <c r="I377" s="2">
        <v>45870</v>
      </c>
      <c r="J377" s="2">
        <f t="shared" si="16"/>
        <v>45917</v>
      </c>
      <c r="K377" t="str">
        <f t="shared" si="17"/>
        <v>Active</v>
      </c>
    </row>
    <row r="378" spans="1:11" x14ac:dyDescent="0.3">
      <c r="A378">
        <v>166</v>
      </c>
      <c r="B378" s="2">
        <v>45888</v>
      </c>
      <c r="C378" t="str">
        <f>VLOOKUP(D378, Member_Master!A:B, 2, FALSE)</f>
        <v>M079</v>
      </c>
      <c r="D378" t="s">
        <v>86</v>
      </c>
      <c r="E378">
        <v>3000</v>
      </c>
      <c r="F378" t="str">
        <f t="shared" si="15"/>
        <v>3 Months</v>
      </c>
      <c r="G378" t="s">
        <v>6</v>
      </c>
      <c r="H378" t="s">
        <v>467</v>
      </c>
      <c r="I378" s="2">
        <v>45870</v>
      </c>
      <c r="J378" s="2">
        <f t="shared" si="16"/>
        <v>45978</v>
      </c>
      <c r="K378" t="str">
        <f t="shared" si="17"/>
        <v>Active</v>
      </c>
    </row>
    <row r="379" spans="1:11" x14ac:dyDescent="0.3">
      <c r="A379">
        <v>275</v>
      </c>
      <c r="B379" s="2">
        <v>45888</v>
      </c>
      <c r="C379" t="str">
        <f>VLOOKUP(D379, Member_Master!A:B, 2, FALSE)</f>
        <v>M136</v>
      </c>
      <c r="D379" t="s">
        <v>143</v>
      </c>
      <c r="E379">
        <v>2400</v>
      </c>
      <c r="F379" t="str">
        <f t="shared" si="15"/>
        <v>3 Months</v>
      </c>
      <c r="G379" t="s">
        <v>9</v>
      </c>
      <c r="H379" t="s">
        <v>7</v>
      </c>
      <c r="I379" s="2">
        <v>45870</v>
      </c>
      <c r="J379" s="2">
        <f t="shared" si="16"/>
        <v>45978</v>
      </c>
      <c r="K379" t="str">
        <f t="shared" si="17"/>
        <v>Active</v>
      </c>
    </row>
    <row r="380" spans="1:11" x14ac:dyDescent="0.3">
      <c r="A380">
        <v>322</v>
      </c>
      <c r="B380" s="2">
        <v>45888</v>
      </c>
      <c r="C380" t="str">
        <f>VLOOKUP(D380, Member_Master!A:B, 2, FALSE)</f>
        <v>M170</v>
      </c>
      <c r="D380" t="s">
        <v>177</v>
      </c>
      <c r="E380">
        <v>2400</v>
      </c>
      <c r="F380" t="str">
        <f t="shared" si="15"/>
        <v>3 Months</v>
      </c>
      <c r="G380" t="s">
        <v>9</v>
      </c>
      <c r="H380" t="s">
        <v>7</v>
      </c>
      <c r="I380" s="2">
        <v>45870</v>
      </c>
      <c r="J380" s="2">
        <f t="shared" si="16"/>
        <v>45978</v>
      </c>
      <c r="K380" t="str">
        <f t="shared" si="17"/>
        <v>Active</v>
      </c>
    </row>
  </sheetData>
  <sortState xmlns:xlrd2="http://schemas.microsoft.com/office/spreadsheetml/2017/richdata2" ref="A4:A380">
    <sortCondition ref="A3:A380"/>
  </sortState>
  <conditionalFormatting sqref="K1:K1048576">
    <cfRule type="containsText" priority="1" operator="containsText" text="At Risk">
      <formula>NOT(ISERROR(SEARCH("At Risk",K1)))</formula>
    </cfRule>
    <cfRule type="containsText" dxfId="10" priority="2" operator="containsText" text="At Risk">
      <formula>NOT(ISERROR(SEARCH("At Risk",K1)))</formula>
    </cfRule>
    <cfRule type="containsText" dxfId="9" priority="4" operator="containsText" text="At Risk">
      <formula>NOT(ISERROR(SEARCH("At Risk",K1)))</formula>
    </cfRule>
    <cfRule type="containsText" dxfId="8" priority="5" operator="containsText" text="Active">
      <formula>NOT(ISERROR(SEARCH("Active",K1)))</formula>
    </cfRule>
    <cfRule type="containsText" dxfId="7" priority="6" operator="containsText" text="Churn Risk">
      <formula>NOT(ISERROR(SEARCH("Churn Risk",K1)))</formula>
    </cfRule>
  </conditionalFormatting>
  <conditionalFormatting sqref="K4:K380">
    <cfRule type="containsText" dxfId="6" priority="3" operator="containsText" text="At Risk">
      <formula>NOT(ISERROR(SEARCH("At Risk",K4)))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F579-9B35-400B-8A60-35841A55611A}">
  <dimension ref="A1:O204"/>
  <sheetViews>
    <sheetView tabSelected="1" zoomScale="90" zoomScaleNormal="69" workbookViewId="0">
      <selection activeCell="C5" sqref="C5"/>
    </sheetView>
  </sheetViews>
  <sheetFormatPr defaultRowHeight="14.4" x14ac:dyDescent="0.3"/>
  <cols>
    <col min="1" max="1" width="12.33203125" customWidth="1"/>
    <col min="2" max="2" width="18.109375" style="2" customWidth="1"/>
    <col min="3" max="3" width="12.109375" customWidth="1"/>
    <col min="4" max="4" width="17.88671875" customWidth="1"/>
    <col min="5" max="5" width="9.6640625" customWidth="1"/>
    <col min="6" max="6" width="11.21875" customWidth="1"/>
    <col min="7" max="7" width="10.88671875" customWidth="1"/>
    <col min="8" max="8" width="9.5546875" customWidth="1"/>
    <col min="9" max="9" width="9.33203125" customWidth="1"/>
    <col min="10" max="10" width="10.109375" customWidth="1"/>
    <col min="11" max="11" width="12.109375" customWidth="1"/>
    <col min="12" max="12" width="9.88671875" customWidth="1"/>
    <col min="13" max="13" width="10.88671875" customWidth="1"/>
    <col min="15" max="15" width="13" customWidth="1"/>
  </cols>
  <sheetData>
    <row r="1" spans="1:15" ht="21" x14ac:dyDescent="0.4">
      <c r="E1" s="43" t="s">
        <v>473</v>
      </c>
      <c r="F1" s="20"/>
      <c r="G1" s="20"/>
      <c r="H1" s="20"/>
      <c r="I1" s="20"/>
    </row>
    <row r="2" spans="1:15" ht="7.2" customHeight="1" x14ac:dyDescent="0.3"/>
    <row r="3" spans="1:15" x14ac:dyDescent="0.3">
      <c r="A3" t="s">
        <v>209</v>
      </c>
      <c r="B3" s="2" t="s">
        <v>414</v>
      </c>
      <c r="C3" t="s">
        <v>415</v>
      </c>
      <c r="D3" t="s">
        <v>416</v>
      </c>
      <c r="E3" t="s">
        <v>417</v>
      </c>
      <c r="F3" t="s">
        <v>418</v>
      </c>
      <c r="G3" t="s">
        <v>419</v>
      </c>
      <c r="H3" t="s">
        <v>420</v>
      </c>
      <c r="I3" t="s">
        <v>421</v>
      </c>
      <c r="J3" t="s">
        <v>422</v>
      </c>
      <c r="K3" t="s">
        <v>423</v>
      </c>
      <c r="L3" t="s">
        <v>424</v>
      </c>
      <c r="M3" t="s">
        <v>433</v>
      </c>
      <c r="O3" t="s">
        <v>413</v>
      </c>
    </row>
    <row r="4" spans="1:15" x14ac:dyDescent="0.3">
      <c r="A4" t="s">
        <v>239</v>
      </c>
      <c r="B4" s="2">
        <f>_xlfn.MAXIFS(Gym_data!$B:$B,Gym_data!$C:$C,$A4)</f>
        <v>45874</v>
      </c>
      <c r="C4" s="2">
        <f>IF(M4="Monthly",B4+30,IF(M4="3 Months",B4+90,
 IF(M4="6 Months",B4+180,
 IF(M4="Yearly",B4+365,"Check Plan"))))</f>
        <v>45904</v>
      </c>
      <c r="D4" t="str">
        <f>IF($O$4&lt;=C4,"Active",IF($O$4-C4&lt;=30,"At Risk","Churn Risk"))</f>
        <v>Active</v>
      </c>
      <c r="E4">
        <f xml:space="preserve"> $O$4 - B4</f>
        <v>26</v>
      </c>
      <c r="F4">
        <f>COUNTIF(Gym_data!C:C, A4)</f>
        <v>6</v>
      </c>
      <c r="G4">
        <f>SUMIF(Gym_data!C:C, A4, Gym_data!E:E)</f>
        <v>6000</v>
      </c>
      <c r="H4">
        <f>IF(E4&lt;=30,5,IF(E4&lt;=60,4,IF(E4&lt;=90,3,IF(E4&lt;=120,2,1))))</f>
        <v>5</v>
      </c>
      <c r="I4">
        <f>IF(F4&gt;=5,5, IF(F4&gt;=4,4,IF(F4&gt;=3,3,IF(F4&gt;=2,2,1))))</f>
        <v>5</v>
      </c>
      <c r="J4">
        <f>IF(G4&gt;=5000,5,IF(G4&gt;=4000,4,IF(G4&gt;=3000,3,IF(G4&gt;=2000,2,1))))</f>
        <v>5</v>
      </c>
      <c r="K4" t="str">
        <f>H4&amp;I4&amp;J4</f>
        <v>555</v>
      </c>
      <c r="L4" t="str">
        <f>IF(AND(H4&gt;=4,I4&gt;=4,J4&gt;=4),"Champion",IF(AND(H4&gt;=3,I4&gt;=3,J4&gt;=3),"Loyal",IF(AND(H4&gt;=4,I4&lt;=2),"At Risk","Churn Risk")))</f>
        <v>Champion</v>
      </c>
      <c r="M4" t="str" cm="1">
        <f t="array" ref="M4">_xlfn.XLOOKUP(1,(Gym_data!$C:$C=$A4)*(Gym_data!$B:$B=$B4),Gym_data!$F:$F)</f>
        <v>Monthly</v>
      </c>
      <c r="O4" s="2">
        <v>45900</v>
      </c>
    </row>
    <row r="5" spans="1:15" x14ac:dyDescent="0.3">
      <c r="A5" t="s">
        <v>241</v>
      </c>
      <c r="B5" s="2">
        <f>_xlfn.MAXIFS(Gym_data!$B:$B,Gym_data!$C:$C,$A5)</f>
        <v>45875</v>
      </c>
      <c r="C5" s="2">
        <f>IF(M5="Monthly",B5+30,IF(M5="3 Months",B5+90,
 IF(M5="6 Months",B5+180,
 IF(M5="Yearly",B5+365,"Check Plan"))))</f>
        <v>45905</v>
      </c>
      <c r="D5" t="str">
        <f>IF($O$4&lt;=C5,"Active",IF($O$4-C5&lt;=30,"At Risk","Churn Risk"))</f>
        <v>Active</v>
      </c>
      <c r="E5">
        <f xml:space="preserve"> $O$4 - B5</f>
        <v>25</v>
      </c>
      <c r="F5">
        <f>COUNTIF(Gym_data!C:C, A5)</f>
        <v>6</v>
      </c>
      <c r="G5">
        <f>SUMIF(Gym_data!C:C, A5, Gym_data!E:E)</f>
        <v>6000</v>
      </c>
      <c r="H5">
        <f>IF(E5&lt;=30,5,IF(E5&lt;=60,4,IF(E5&lt;=90,3,IF(E5&lt;=120,2,1))))</f>
        <v>5</v>
      </c>
      <c r="I5">
        <f>IF(F5&gt;=5,5, IF(F5&gt;=4,4,IF(F5&gt;=3,3,IF(F5&gt;=2,2,1))))</f>
        <v>5</v>
      </c>
      <c r="J5">
        <f>IF(G5&gt;=5000,5,IF(G5&gt;=4000,4,IF(G5&gt;=3000,3,IF(G5&gt;=2000,2,1))))</f>
        <v>5</v>
      </c>
      <c r="K5" t="str">
        <f>H5&amp;I5&amp;J5</f>
        <v>555</v>
      </c>
      <c r="L5" t="str">
        <f>IF(AND(H5&gt;=4,I5&gt;=4,J5&gt;=4),"Champion",IF(AND(H5&gt;=3,I5&gt;=3,J5&gt;=3),"Loyal",IF(AND(H5&gt;=4,I5&lt;=2),"At Risk","Churn Risk")))</f>
        <v>Champion</v>
      </c>
      <c r="M5" t="str" cm="1">
        <f t="array" ref="M5">_xlfn.XLOOKUP(1,(Gym_data!$C:$C=$A5)*(Gym_data!$B:$B=$B5),Gym_data!$F:$F)</f>
        <v>Monthly</v>
      </c>
    </row>
    <row r="6" spans="1:15" x14ac:dyDescent="0.3">
      <c r="A6" t="s">
        <v>274</v>
      </c>
      <c r="B6" s="2">
        <f>_xlfn.MAXIFS(Gym_data!$B:$B,Gym_data!$C:$C,$A6)</f>
        <v>45875</v>
      </c>
      <c r="C6" s="2">
        <f>IF(M6="Monthly",B6+30,IF(M6="3 Months",B6+90,
 IF(M6="6 Months",B6+180,
 IF(M6="Yearly",B6+365,"Check Plan"))))</f>
        <v>45905</v>
      </c>
      <c r="D6" t="str">
        <f>IF($O$4&lt;=C6,"Active",IF($O$4-C6&lt;=30,"At Risk","Churn Risk"))</f>
        <v>Active</v>
      </c>
      <c r="E6">
        <f xml:space="preserve"> $O$4 - B6</f>
        <v>25</v>
      </c>
      <c r="F6">
        <f>COUNTIF(Gym_data!C:C, A6)</f>
        <v>6</v>
      </c>
      <c r="G6">
        <f>SUMIF(Gym_data!C:C, A6, Gym_data!E:E)</f>
        <v>6000</v>
      </c>
      <c r="H6">
        <f>IF(E6&lt;=30,5,IF(E6&lt;=60,4,IF(E6&lt;=90,3,IF(E6&lt;=120,2,1))))</f>
        <v>5</v>
      </c>
      <c r="I6">
        <f>IF(F6&gt;=5,5, IF(F6&gt;=4,4,IF(F6&gt;=3,3,IF(F6&gt;=2,2,1))))</f>
        <v>5</v>
      </c>
      <c r="J6">
        <f>IF(G6&gt;=5000,5,IF(G6&gt;=4000,4,IF(G6&gt;=3000,3,IF(G6&gt;=2000,2,1))))</f>
        <v>5</v>
      </c>
      <c r="K6" t="str">
        <f>H6&amp;I6&amp;J6</f>
        <v>555</v>
      </c>
      <c r="L6" t="str">
        <f>IF(AND(H6&gt;=4,I6&gt;=4,J6&gt;=4),"Champion",IF(AND(H6&gt;=3,I6&gt;=3,J6&gt;=3),"Loyal",IF(AND(H6&gt;=4,I6&lt;=2),"At Risk","Churn Risk")))</f>
        <v>Champion</v>
      </c>
      <c r="M6" t="str" cm="1">
        <f t="array" ref="M6">_xlfn.XLOOKUP(1,(Gym_data!$C:$C=$A6)*(Gym_data!$B:$B=$B6),Gym_data!$F:$F)</f>
        <v>Monthly</v>
      </c>
    </row>
    <row r="7" spans="1:15" x14ac:dyDescent="0.3">
      <c r="A7" t="s">
        <v>278</v>
      </c>
      <c r="B7" s="2">
        <f>_xlfn.MAXIFS(Gym_data!$B:$B,Gym_data!$C:$C,$A7)</f>
        <v>45875</v>
      </c>
      <c r="C7" s="2">
        <f>IF(M7="Monthly",B7+30,IF(M7="3 Months",B7+90,
 IF(M7="6 Months",B7+180,
 IF(M7="Yearly",B7+365,"Check Plan"))))</f>
        <v>45905</v>
      </c>
      <c r="D7" t="str">
        <f>IF($O$4&lt;=C7,"Active",IF($O$4-C7&lt;=30,"At Risk","Churn Risk"))</f>
        <v>Active</v>
      </c>
      <c r="E7">
        <f xml:space="preserve"> $O$4 - B7</f>
        <v>25</v>
      </c>
      <c r="F7">
        <f>COUNTIF(Gym_data!C:C, A7)</f>
        <v>6</v>
      </c>
      <c r="G7">
        <f>SUMIF(Gym_data!C:C, A7, Gym_data!E:E)</f>
        <v>6000</v>
      </c>
      <c r="H7">
        <f>IF(E7&lt;=30,5,IF(E7&lt;=60,4,IF(E7&lt;=90,3,IF(E7&lt;=120,2,1))))</f>
        <v>5</v>
      </c>
      <c r="I7">
        <f>IF(F7&gt;=5,5, IF(F7&gt;=4,4,IF(F7&gt;=3,3,IF(F7&gt;=2,2,1))))</f>
        <v>5</v>
      </c>
      <c r="J7">
        <f>IF(G7&gt;=5000,5,IF(G7&gt;=4000,4,IF(G7&gt;=3000,3,IF(G7&gt;=2000,2,1))))</f>
        <v>5</v>
      </c>
      <c r="K7" t="str">
        <f>H7&amp;I7&amp;J7</f>
        <v>555</v>
      </c>
      <c r="L7" t="str">
        <f>IF(AND(H7&gt;=4,I7&gt;=4,J7&gt;=4),"Champion",IF(AND(H7&gt;=3,I7&gt;=3,J7&gt;=3),"Loyal",IF(AND(H7&gt;=4,I7&lt;=2),"At Risk","Churn Risk")))</f>
        <v>Champion</v>
      </c>
      <c r="M7" t="str" cm="1">
        <f t="array" ref="M7">_xlfn.XLOOKUP(1,(Gym_data!$C:$C=$A7)*(Gym_data!$B:$B=$B7),Gym_data!$F:$F)</f>
        <v>Monthly</v>
      </c>
    </row>
    <row r="8" spans="1:15" x14ac:dyDescent="0.3">
      <c r="A8" t="s">
        <v>279</v>
      </c>
      <c r="B8" s="2">
        <f>_xlfn.MAXIFS(Gym_data!$B:$B,Gym_data!$C:$C,$A8)</f>
        <v>45877</v>
      </c>
      <c r="C8" s="2">
        <f>IF(M8="Monthly",B8+30,IF(M8="3 Months",B8+90,
 IF(M8="6 Months",B8+180,
 IF(M8="Yearly",B8+365,"Check Plan"))))</f>
        <v>45967</v>
      </c>
      <c r="D8" t="str">
        <f>IF($O$4&lt;=C8,"Active",IF($O$4-C8&lt;=30,"At Risk","Churn Risk"))</f>
        <v>Active</v>
      </c>
      <c r="E8">
        <f xml:space="preserve"> $O$4 - B8</f>
        <v>23</v>
      </c>
      <c r="F8">
        <f>COUNTIF(Gym_data!C:C, A8)</f>
        <v>5</v>
      </c>
      <c r="G8">
        <f>SUMIF(Gym_data!C:C, A8, Gym_data!E:E)</f>
        <v>10000</v>
      </c>
      <c r="H8">
        <f>IF(E8&lt;=30,5,IF(E8&lt;=60,4,IF(E8&lt;=90,3,IF(E8&lt;=120,2,1))))</f>
        <v>5</v>
      </c>
      <c r="I8">
        <f>IF(F8&gt;=5,5, IF(F8&gt;=4,4,IF(F8&gt;=3,3,IF(F8&gt;=2,2,1))))</f>
        <v>5</v>
      </c>
      <c r="J8">
        <f>IF(G8&gt;=5000,5,IF(G8&gt;=4000,4,IF(G8&gt;=3000,3,IF(G8&gt;=2000,2,1))))</f>
        <v>5</v>
      </c>
      <c r="K8" t="str">
        <f>H8&amp;I8&amp;J8</f>
        <v>555</v>
      </c>
      <c r="L8" t="str">
        <f>IF(AND(H8&gt;=4,I8&gt;=4,J8&gt;=4),"Champion",IF(AND(H8&gt;=3,I8&gt;=3,J8&gt;=3),"Loyal",IF(AND(H8&gt;=4,I8&lt;=2),"At Risk","Churn Risk")))</f>
        <v>Champion</v>
      </c>
      <c r="M8" t="str" cm="1">
        <f t="array" ref="M8">_xlfn.XLOOKUP(1,(Gym_data!$C:$C=$A8)*(Gym_data!$B:$B=$B8),Gym_data!$F:$F)</f>
        <v>3 Months</v>
      </c>
    </row>
    <row r="9" spans="1:15" x14ac:dyDescent="0.3">
      <c r="A9" t="s">
        <v>280</v>
      </c>
      <c r="B9" s="2">
        <f>_xlfn.MAXIFS(Gym_data!$B:$B,Gym_data!$C:$C,$A9)</f>
        <v>45881</v>
      </c>
      <c r="C9" s="2">
        <f>IF(M9="Monthly",B9+30,IF(M9="3 Months",B9+90,
 IF(M9="6 Months",B9+180,
 IF(M9="Yearly",B9+365,"Check Plan"))))</f>
        <v>45911</v>
      </c>
      <c r="D9" t="str">
        <f>IF($O$4&lt;=C9,"Active",IF($O$4-C9&lt;=30,"At Risk","Churn Risk"))</f>
        <v>Active</v>
      </c>
      <c r="E9">
        <f xml:space="preserve"> $O$4 - B9</f>
        <v>19</v>
      </c>
      <c r="F9">
        <f>COUNTIF(Gym_data!C:C, A9)</f>
        <v>5</v>
      </c>
      <c r="G9">
        <f>SUMIF(Gym_data!C:C, A9, Gym_data!E:E)</f>
        <v>6000</v>
      </c>
      <c r="H9">
        <f>IF(E9&lt;=30,5,IF(E9&lt;=60,4,IF(E9&lt;=90,3,IF(E9&lt;=120,2,1))))</f>
        <v>5</v>
      </c>
      <c r="I9">
        <f>IF(F9&gt;=5,5, IF(F9&gt;=4,4,IF(F9&gt;=3,3,IF(F9&gt;=2,2,1))))</f>
        <v>5</v>
      </c>
      <c r="J9">
        <f>IF(G9&gt;=5000,5,IF(G9&gt;=4000,4,IF(G9&gt;=3000,3,IF(G9&gt;=2000,2,1))))</f>
        <v>5</v>
      </c>
      <c r="K9" t="str">
        <f>H9&amp;I9&amp;J9</f>
        <v>555</v>
      </c>
      <c r="L9" t="str">
        <f>IF(AND(H9&gt;=4,I9&gt;=4,J9&gt;=4),"Champion",IF(AND(H9&gt;=3,I9&gt;=3,J9&gt;=3),"Loyal",IF(AND(H9&gt;=4,I9&lt;=2),"At Risk","Churn Risk")))</f>
        <v>Champion</v>
      </c>
      <c r="M9" t="str" cm="1">
        <f t="array" ref="M9">_xlfn.XLOOKUP(1,(Gym_data!$C:$C=$A9)*(Gym_data!$B:$B=$B9),Gym_data!$F:$F)</f>
        <v>Monthly</v>
      </c>
    </row>
    <row r="10" spans="1:15" x14ac:dyDescent="0.3">
      <c r="A10" t="s">
        <v>285</v>
      </c>
      <c r="B10" s="2">
        <f>_xlfn.MAXIFS(Gym_data!$B:$B,Gym_data!$C:$C,$A10)</f>
        <v>45881</v>
      </c>
      <c r="C10" s="2">
        <f>IF(M10="Monthly",B10+30,IF(M10="3 Months",B10+90,
 IF(M10="6 Months",B10+180,
 IF(M10="Yearly",B10+365,"Check Plan"))))</f>
        <v>45971</v>
      </c>
      <c r="D10" t="str">
        <f>IF($O$4&lt;=C10,"Active",IF($O$4-C10&lt;=30,"At Risk","Churn Risk"))</f>
        <v>Active</v>
      </c>
      <c r="E10">
        <f xml:space="preserve"> $O$4 - B10</f>
        <v>19</v>
      </c>
      <c r="F10">
        <f>COUNTIF(Gym_data!C:C, A10)</f>
        <v>5</v>
      </c>
      <c r="G10">
        <f>SUMIF(Gym_data!C:C, A10, Gym_data!E:E)</f>
        <v>15000</v>
      </c>
      <c r="H10">
        <f>IF(E10&lt;=30,5,IF(E10&lt;=60,4,IF(E10&lt;=90,3,IF(E10&lt;=120,2,1))))</f>
        <v>5</v>
      </c>
      <c r="I10">
        <f>IF(F10&gt;=5,5, IF(F10&gt;=4,4,IF(F10&gt;=3,3,IF(F10&gt;=2,2,1))))</f>
        <v>5</v>
      </c>
      <c r="J10">
        <f>IF(G10&gt;=5000,5,IF(G10&gt;=4000,4,IF(G10&gt;=3000,3,IF(G10&gt;=2000,2,1))))</f>
        <v>5</v>
      </c>
      <c r="K10" t="str">
        <f>H10&amp;I10&amp;J10</f>
        <v>555</v>
      </c>
      <c r="L10" t="str">
        <f>IF(AND(H10&gt;=4,I10&gt;=4,J10&gt;=4),"Champion",IF(AND(H10&gt;=3,I10&gt;=3,J10&gt;=3),"Loyal",IF(AND(H10&gt;=4,I10&lt;=2),"At Risk","Churn Risk")))</f>
        <v>Champion</v>
      </c>
      <c r="M10" t="str" cm="1">
        <f t="array" ref="M10">_xlfn.XLOOKUP(1,(Gym_data!$C:$C=$A10)*(Gym_data!$B:$B=$B10),Gym_data!$F:$F)</f>
        <v>3 Months</v>
      </c>
    </row>
    <row r="11" spans="1:15" x14ac:dyDescent="0.3">
      <c r="A11" t="s">
        <v>289</v>
      </c>
      <c r="B11" s="2">
        <f>_xlfn.MAXIFS(Gym_data!$B:$B,Gym_data!$C:$C,$A11)</f>
        <v>45874</v>
      </c>
      <c r="C11" s="2">
        <f>IF(M11="Monthly",B11+30,IF(M11="3 Months",B11+90,
 IF(M11="6 Months",B11+180,
 IF(M11="Yearly",B11+365,"Check Plan"))))</f>
        <v>45904</v>
      </c>
      <c r="D11" t="str">
        <f>IF($O$4&lt;=C11,"Active",IF($O$4-C11&lt;=30,"At Risk","Churn Risk"))</f>
        <v>Active</v>
      </c>
      <c r="E11">
        <f xml:space="preserve"> $O$4 - B11</f>
        <v>26</v>
      </c>
      <c r="F11">
        <f>COUNTIF(Gym_data!C:C, A11)</f>
        <v>7</v>
      </c>
      <c r="G11">
        <f>SUMIF(Gym_data!C:C, A11, Gym_data!E:E)</f>
        <v>7000</v>
      </c>
      <c r="H11">
        <f>IF(E11&lt;=30,5,IF(E11&lt;=60,4,IF(E11&lt;=90,3,IF(E11&lt;=120,2,1))))</f>
        <v>5</v>
      </c>
      <c r="I11">
        <f>IF(F11&gt;=5,5, IF(F11&gt;=4,4,IF(F11&gt;=3,3,IF(F11&gt;=2,2,1))))</f>
        <v>5</v>
      </c>
      <c r="J11">
        <f>IF(G11&gt;=5000,5,IF(G11&gt;=4000,4,IF(G11&gt;=3000,3,IF(G11&gt;=2000,2,1))))</f>
        <v>5</v>
      </c>
      <c r="K11" t="str">
        <f>H11&amp;I11&amp;J11</f>
        <v>555</v>
      </c>
      <c r="L11" t="str">
        <f>IF(AND(H11&gt;=4,I11&gt;=4,J11&gt;=4),"Champion",IF(AND(H11&gt;=3,I11&gt;=3,J11&gt;=3),"Loyal",IF(AND(H11&gt;=4,I11&lt;=2),"At Risk","Churn Risk")))</f>
        <v>Champion</v>
      </c>
      <c r="M11" t="str" cm="1">
        <f t="array" ref="M11">_xlfn.XLOOKUP(1,(Gym_data!$C:$C=$A11)*(Gym_data!$B:$B=$B11),Gym_data!$F:$F)</f>
        <v>Monthly</v>
      </c>
    </row>
    <row r="12" spans="1:15" x14ac:dyDescent="0.3">
      <c r="A12" t="s">
        <v>290</v>
      </c>
      <c r="B12" s="2">
        <f>_xlfn.MAXIFS(Gym_data!$B:$B,Gym_data!$C:$C,$A12)</f>
        <v>45875</v>
      </c>
      <c r="C12" s="2">
        <f>IF(M12="Monthly",B12+30,IF(M12="3 Months",B12+90,
 IF(M12="6 Months",B12+180,
 IF(M12="Yearly",B12+365,"Check Plan"))))</f>
        <v>45905</v>
      </c>
      <c r="D12" t="str">
        <f>IF($O$4&lt;=C12,"Active",IF($O$4-C12&lt;=30,"At Risk","Churn Risk"))</f>
        <v>Active</v>
      </c>
      <c r="E12">
        <f xml:space="preserve"> $O$4 - B12</f>
        <v>25</v>
      </c>
      <c r="F12">
        <f>COUNTIF(Gym_data!C:C, A12)</f>
        <v>5</v>
      </c>
      <c r="G12">
        <f>SUMIF(Gym_data!C:C, A12, Gym_data!E:E)</f>
        <v>9800</v>
      </c>
      <c r="H12">
        <f>IF(E12&lt;=30,5,IF(E12&lt;=60,4,IF(E12&lt;=90,3,IF(E12&lt;=120,2,1))))</f>
        <v>5</v>
      </c>
      <c r="I12">
        <f>IF(F12&gt;=5,5, IF(F12&gt;=4,4,IF(F12&gt;=3,3,IF(F12&gt;=2,2,1))))</f>
        <v>5</v>
      </c>
      <c r="J12">
        <f>IF(G12&gt;=5000,5,IF(G12&gt;=4000,4,IF(G12&gt;=3000,3,IF(G12&gt;=2000,2,1))))</f>
        <v>5</v>
      </c>
      <c r="K12" t="str">
        <f>H12&amp;I12&amp;J12</f>
        <v>555</v>
      </c>
      <c r="L12" t="str">
        <f>IF(AND(H12&gt;=4,I12&gt;=4,J12&gt;=4),"Champion",IF(AND(H12&gt;=3,I12&gt;=3,J12&gt;=3),"Loyal",IF(AND(H12&gt;=4,I12&lt;=2),"At Risk","Churn Risk")))</f>
        <v>Champion</v>
      </c>
      <c r="M12" t="str" cm="1">
        <f t="array" ref="M12">_xlfn.XLOOKUP(1,(Gym_data!$C:$C=$A12)*(Gym_data!$B:$B=$B12),Gym_data!$F:$F)</f>
        <v>Monthly</v>
      </c>
    </row>
    <row r="13" spans="1:15" x14ac:dyDescent="0.3">
      <c r="A13" t="s">
        <v>326</v>
      </c>
      <c r="B13" s="2">
        <f>_xlfn.MAXIFS(Gym_data!$B:$B,Gym_data!$C:$C,$A13)</f>
        <v>45887</v>
      </c>
      <c r="C13" s="2">
        <f>IF(M13="Monthly",B13+30,IF(M13="3 Months",B13+90,
 IF(M13="6 Months",B13+180,
 IF(M13="Yearly",B13+365,"Check Plan"))))</f>
        <v>45917</v>
      </c>
      <c r="D13" t="str">
        <f>IF($O$4&lt;=C13,"Active",IF($O$4-C13&lt;=30,"At Risk","Churn Risk"))</f>
        <v>Active</v>
      </c>
      <c r="E13">
        <f xml:space="preserve"> $O$4 - B13</f>
        <v>13</v>
      </c>
      <c r="F13">
        <f>COUNTIF(Gym_data!C:C, A13)</f>
        <v>6</v>
      </c>
      <c r="G13">
        <f>SUMIF(Gym_data!C:C, A13, Gym_data!E:E)</f>
        <v>6000</v>
      </c>
      <c r="H13">
        <f>IF(E13&lt;=30,5,IF(E13&lt;=60,4,IF(E13&lt;=90,3,IF(E13&lt;=120,2,1))))</f>
        <v>5</v>
      </c>
      <c r="I13">
        <f>IF(F13&gt;=5,5, IF(F13&gt;=4,4,IF(F13&gt;=3,3,IF(F13&gt;=2,2,1))))</f>
        <v>5</v>
      </c>
      <c r="J13">
        <f>IF(G13&gt;=5000,5,IF(G13&gt;=4000,4,IF(G13&gt;=3000,3,IF(G13&gt;=2000,2,1))))</f>
        <v>5</v>
      </c>
      <c r="K13" t="str">
        <f>H13&amp;I13&amp;J13</f>
        <v>555</v>
      </c>
      <c r="L13" t="str">
        <f>IF(AND(H13&gt;=4,I13&gt;=4,J13&gt;=4),"Champion",IF(AND(H13&gt;=3,I13&gt;=3,J13&gt;=3),"Loyal",IF(AND(H13&gt;=4,I13&lt;=2),"At Risk","Churn Risk")))</f>
        <v>Champion</v>
      </c>
      <c r="M13" t="str" cm="1">
        <f t="array" ref="M13">_xlfn.XLOOKUP(1,(Gym_data!$C:$C=$A13)*(Gym_data!$B:$B=$B13),Gym_data!$F:$F)</f>
        <v>Monthly</v>
      </c>
    </row>
    <row r="14" spans="1:15" x14ac:dyDescent="0.3">
      <c r="A14" t="s">
        <v>406</v>
      </c>
      <c r="B14" s="2">
        <f>_xlfn.MAXIFS(Gym_data!$B:$B,Gym_data!$C:$C,$A14)</f>
        <v>45876</v>
      </c>
      <c r="C14" s="2">
        <f>IF(M14="Monthly",B14+30,IF(M14="3 Months",B14+90,
 IF(M14="6 Months",B14+180,
 IF(M14="Yearly",B14+365,"Check Plan"))))</f>
        <v>45906</v>
      </c>
      <c r="D14" t="str">
        <f>IF($O$4&lt;=C14,"Active",IF($O$4-C14&lt;=30,"At Risk","Churn Risk"))</f>
        <v>Active</v>
      </c>
      <c r="E14">
        <f xml:space="preserve"> $O$4 - B14</f>
        <v>24</v>
      </c>
      <c r="F14">
        <f>COUNTIF(Gym_data!C:C, A14)</f>
        <v>5</v>
      </c>
      <c r="G14">
        <f>SUMIF(Gym_data!C:C, A14, Gym_data!E:E)</f>
        <v>5000</v>
      </c>
      <c r="H14">
        <f>IF(E14&lt;=30,5,IF(E14&lt;=60,4,IF(E14&lt;=90,3,IF(E14&lt;=120,2,1))))</f>
        <v>5</v>
      </c>
      <c r="I14">
        <f>IF(F14&gt;=5,5, IF(F14&gt;=4,4,IF(F14&gt;=3,3,IF(F14&gt;=2,2,1))))</f>
        <v>5</v>
      </c>
      <c r="J14">
        <f>IF(G14&gt;=5000,5,IF(G14&gt;=4000,4,IF(G14&gt;=3000,3,IF(G14&gt;=2000,2,1))))</f>
        <v>5</v>
      </c>
      <c r="K14" t="str">
        <f>H14&amp;I14&amp;J14</f>
        <v>555</v>
      </c>
      <c r="L14" t="str">
        <f>IF(AND(H14&gt;=4,I14&gt;=4,J14&gt;=4),"Champion",IF(AND(H14&gt;=3,I14&gt;=3,J14&gt;=3),"Loyal",IF(AND(H14&gt;=4,I14&lt;=2),"At Risk","Churn Risk")))</f>
        <v>Champion</v>
      </c>
      <c r="M14" t="str" cm="1">
        <f t="array" ref="M14">_xlfn.XLOOKUP(1,(Gym_data!$C:$C=$A14)*(Gym_data!$B:$B=$B14),Gym_data!$F:$F)</f>
        <v>Monthly</v>
      </c>
    </row>
    <row r="15" spans="1:15" x14ac:dyDescent="0.3">
      <c r="A15" t="s">
        <v>386</v>
      </c>
      <c r="B15" s="2">
        <f>_xlfn.MAXIFS(Gym_data!$B:$B,Gym_data!$C:$C,$A15)</f>
        <v>45887</v>
      </c>
      <c r="C15" s="2">
        <f>IF(M15="Monthly",B15+30,IF(M15="3 Months",B15+90,
 IF(M15="6 Months",B15+180,
 IF(M15="Yearly",B15+365,"Check Plan"))))</f>
        <v>45917</v>
      </c>
      <c r="D15" t="str">
        <f>IF($O$4&lt;=C15,"Active",IF($O$4-C15&lt;=30,"At Risk","Churn Risk"))</f>
        <v>Active</v>
      </c>
      <c r="E15">
        <f xml:space="preserve"> $O$4 - B15</f>
        <v>13</v>
      </c>
      <c r="F15">
        <f>COUNTIF(Gym_data!C:C, A15)</f>
        <v>5</v>
      </c>
      <c r="G15">
        <f>SUMIF(Gym_data!C:C, A15, Gym_data!E:E)</f>
        <v>4500</v>
      </c>
      <c r="H15">
        <f>IF(E15&lt;=30,5,IF(E15&lt;=60,4,IF(E15&lt;=90,3,IF(E15&lt;=120,2,1))))</f>
        <v>5</v>
      </c>
      <c r="I15">
        <f>IF(F15&gt;=5,5, IF(F15&gt;=4,4,IF(F15&gt;=3,3,IF(F15&gt;=2,2,1))))</f>
        <v>5</v>
      </c>
      <c r="J15">
        <f>IF(G15&gt;=5000,5,IF(G15&gt;=4000,4,IF(G15&gt;=3000,3,IF(G15&gt;=2000,2,1))))</f>
        <v>4</v>
      </c>
      <c r="K15" t="str">
        <f>H15&amp;I15&amp;J15</f>
        <v>554</v>
      </c>
      <c r="L15" t="str">
        <f>IF(AND(H15&gt;=4,I15&gt;=4,J15&gt;=4),"Champion",IF(AND(H15&gt;=3,I15&gt;=3,J15&gt;=3),"Loyal",IF(AND(H15&gt;=4,I15&lt;=2),"At Risk","Churn Risk")))</f>
        <v>Champion</v>
      </c>
      <c r="M15" t="str" cm="1">
        <f t="array" ref="M15">_xlfn.XLOOKUP(1,(Gym_data!$C:$C=$A15)*(Gym_data!$B:$B=$B15),Gym_data!$F:$F)</f>
        <v>Monthly</v>
      </c>
    </row>
    <row r="16" spans="1:15" x14ac:dyDescent="0.3">
      <c r="A16" t="s">
        <v>217</v>
      </c>
      <c r="B16" s="2">
        <f>_xlfn.MAXIFS(Gym_data!$B:$B,Gym_data!$C:$C,$A16)</f>
        <v>45887</v>
      </c>
      <c r="C16" s="2">
        <f>IF(M16="Monthly",B16+30,IF(M16="3 Months",B16+90,
 IF(M16="6 Months",B16+180,
 IF(M16="Yearly",B16+365,"Check Plan"))))</f>
        <v>45917</v>
      </c>
      <c r="D16" t="str">
        <f>IF($O$4&lt;=C16,"Active",IF($O$4-C16&lt;=30,"At Risk","Churn Risk"))</f>
        <v>Active</v>
      </c>
      <c r="E16">
        <f xml:space="preserve"> $O$4 - B16</f>
        <v>13</v>
      </c>
      <c r="F16">
        <f>COUNTIF(Gym_data!C:C, A16)</f>
        <v>4</v>
      </c>
      <c r="G16">
        <f>SUMIF(Gym_data!C:C, A16, Gym_data!E:E)</f>
        <v>4000</v>
      </c>
      <c r="H16">
        <f>IF(E16&lt;=30,5,IF(E16&lt;=60,4,IF(E16&lt;=90,3,IF(E16&lt;=120,2,1))))</f>
        <v>5</v>
      </c>
      <c r="I16">
        <f>IF(F16&gt;=5,5, IF(F16&gt;=4,4,IF(F16&gt;=3,3,IF(F16&gt;=2,2,1))))</f>
        <v>4</v>
      </c>
      <c r="J16">
        <f>IF(G16&gt;=5000,5,IF(G16&gt;=4000,4,IF(G16&gt;=3000,3,IF(G16&gt;=2000,2,1))))</f>
        <v>4</v>
      </c>
      <c r="K16" t="str">
        <f>H16&amp;I16&amp;J16</f>
        <v>544</v>
      </c>
      <c r="L16" t="str">
        <f>IF(AND(H16&gt;=4,I16&gt;=4,J16&gt;=4),"Champion",IF(AND(H16&gt;=3,I16&gt;=3,J16&gt;=3),"Loyal",IF(AND(H16&gt;=4,I16&lt;=2),"At Risk","Churn Risk")))</f>
        <v>Champion</v>
      </c>
      <c r="M16" t="str" cm="1">
        <f t="array" ref="M16">_xlfn.XLOOKUP(1,(Gym_data!$C:$C=$A16)*(Gym_data!$B:$B=$B16),Gym_data!$F:$F)</f>
        <v>Monthly</v>
      </c>
    </row>
    <row r="17" spans="1:13" x14ac:dyDescent="0.3">
      <c r="A17" t="s">
        <v>246</v>
      </c>
      <c r="B17" s="2">
        <f>_xlfn.MAXIFS(Gym_data!$B:$B,Gym_data!$C:$C,$A17)</f>
        <v>45882</v>
      </c>
      <c r="C17" s="2">
        <f>IF(M17="Monthly",B17+30,IF(M17="3 Months",B17+90,
 IF(M17="6 Months",B17+180,
 IF(M17="Yearly",B17+365,"Check Plan"))))</f>
        <v>45912</v>
      </c>
      <c r="D17" t="str">
        <f>IF($O$4&lt;=C17,"Active",IF($O$4-C17&lt;=30,"At Risk","Churn Risk"))</f>
        <v>Active</v>
      </c>
      <c r="E17">
        <f xml:space="preserve"> $O$4 - B17</f>
        <v>18</v>
      </c>
      <c r="F17">
        <f>COUNTIF(Gym_data!C:C, A17)</f>
        <v>4</v>
      </c>
      <c r="G17">
        <f>SUMIF(Gym_data!C:C, A17, Gym_data!E:E)</f>
        <v>4000</v>
      </c>
      <c r="H17">
        <f>IF(E17&lt;=30,5,IF(E17&lt;=60,4,IF(E17&lt;=90,3,IF(E17&lt;=120,2,1))))</f>
        <v>5</v>
      </c>
      <c r="I17">
        <f>IF(F17&gt;=5,5, IF(F17&gt;=4,4,IF(F17&gt;=3,3,IF(F17&gt;=2,2,1))))</f>
        <v>4</v>
      </c>
      <c r="J17">
        <f>IF(G17&gt;=5000,5,IF(G17&gt;=4000,4,IF(G17&gt;=3000,3,IF(G17&gt;=2000,2,1))))</f>
        <v>4</v>
      </c>
      <c r="K17" t="str">
        <f>H17&amp;I17&amp;J17</f>
        <v>544</v>
      </c>
      <c r="L17" t="str">
        <f>IF(AND(H17&gt;=4,I17&gt;=4,J17&gt;=4),"Champion",IF(AND(H17&gt;=3,I17&gt;=3,J17&gt;=3),"Loyal",IF(AND(H17&gt;=4,I17&lt;=2),"At Risk","Churn Risk")))</f>
        <v>Champion</v>
      </c>
      <c r="M17" t="str" cm="1">
        <f t="array" ref="M17">_xlfn.XLOOKUP(1,(Gym_data!$C:$C=$A17)*(Gym_data!$B:$B=$B17),Gym_data!$F:$F)</f>
        <v>Monthly</v>
      </c>
    </row>
    <row r="18" spans="1:13" x14ac:dyDescent="0.3">
      <c r="A18" t="s">
        <v>260</v>
      </c>
      <c r="B18" s="2">
        <f>_xlfn.MAXIFS(Gym_data!$B:$B,Gym_data!$C:$C,$A18)</f>
        <v>45875</v>
      </c>
      <c r="C18" s="2">
        <f>IF(M18="Monthly",B18+30,IF(M18="3 Months",B18+90,
 IF(M18="6 Months",B18+180,
 IF(M18="Yearly",B18+365,"Check Plan"))))</f>
        <v>45905</v>
      </c>
      <c r="D18" t="str">
        <f>IF($O$4&lt;=C18,"Active",IF($O$4-C18&lt;=30,"At Risk","Churn Risk"))</f>
        <v>Active</v>
      </c>
      <c r="E18">
        <f xml:space="preserve"> $O$4 - B18</f>
        <v>25</v>
      </c>
      <c r="F18">
        <f>COUNTIF(Gym_data!C:C, A18)</f>
        <v>4</v>
      </c>
      <c r="G18">
        <f>SUMIF(Gym_data!C:C, A18, Gym_data!E:E)</f>
        <v>4400</v>
      </c>
      <c r="H18">
        <f>IF(E18&lt;=30,5,IF(E18&lt;=60,4,IF(E18&lt;=90,3,IF(E18&lt;=120,2,1))))</f>
        <v>5</v>
      </c>
      <c r="I18">
        <f>IF(F18&gt;=5,5, IF(F18&gt;=4,4,IF(F18&gt;=3,3,IF(F18&gt;=2,2,1))))</f>
        <v>4</v>
      </c>
      <c r="J18">
        <f>IF(G18&gt;=5000,5,IF(G18&gt;=4000,4,IF(G18&gt;=3000,3,IF(G18&gt;=2000,2,1))))</f>
        <v>4</v>
      </c>
      <c r="K18" t="str">
        <f>H18&amp;I18&amp;J18</f>
        <v>544</v>
      </c>
      <c r="L18" t="str">
        <f>IF(AND(H18&gt;=4,I18&gt;=4,J18&gt;=4),"Champion",IF(AND(H18&gt;=3,I18&gt;=3,J18&gt;=3),"Loyal",IF(AND(H18&gt;=4,I18&lt;=2),"At Risk","Churn Risk")))</f>
        <v>Champion</v>
      </c>
      <c r="M18" t="str" cm="1">
        <f t="array" ref="M18">_xlfn.XLOOKUP(1,(Gym_data!$C:$C=$A18)*(Gym_data!$B:$B=$B18),Gym_data!$F:$F)</f>
        <v>Monthly</v>
      </c>
    </row>
    <row r="19" spans="1:13" x14ac:dyDescent="0.3">
      <c r="A19" t="s">
        <v>293</v>
      </c>
      <c r="B19" s="2">
        <f>_xlfn.MAXIFS(Gym_data!$B:$B,Gym_data!$C:$C,$A19)</f>
        <v>45874</v>
      </c>
      <c r="C19" s="2">
        <f>IF(M19="Monthly",B19+30,IF(M19="3 Months",B19+90,
 IF(M19="6 Months",B19+180,
 IF(M19="Yearly",B19+365,"Check Plan"))))</f>
        <v>45904</v>
      </c>
      <c r="D19" t="str">
        <f>IF($O$4&lt;=C19,"Active",IF($O$4-C19&lt;=30,"At Risk","Churn Risk"))</f>
        <v>Active</v>
      </c>
      <c r="E19">
        <f xml:space="preserve"> $O$4 - B19</f>
        <v>26</v>
      </c>
      <c r="F19">
        <f>COUNTIF(Gym_data!C:C, A19)</f>
        <v>4</v>
      </c>
      <c r="G19">
        <f>SUMIF(Gym_data!C:C, A19, Gym_data!E:E)</f>
        <v>4000</v>
      </c>
      <c r="H19">
        <f>IF(E19&lt;=30,5,IF(E19&lt;=60,4,IF(E19&lt;=90,3,IF(E19&lt;=120,2,1))))</f>
        <v>5</v>
      </c>
      <c r="I19">
        <f>IF(F19&gt;=5,5, IF(F19&gt;=4,4,IF(F19&gt;=3,3,IF(F19&gt;=2,2,1))))</f>
        <v>4</v>
      </c>
      <c r="J19">
        <f>IF(G19&gt;=5000,5,IF(G19&gt;=4000,4,IF(G19&gt;=3000,3,IF(G19&gt;=2000,2,1))))</f>
        <v>4</v>
      </c>
      <c r="K19" t="str">
        <f>H19&amp;I19&amp;J19</f>
        <v>544</v>
      </c>
      <c r="L19" t="str">
        <f>IF(AND(H19&gt;=4,I19&gt;=4,J19&gt;=4),"Champion",IF(AND(H19&gt;=3,I19&gt;=3,J19&gt;=3),"Loyal",IF(AND(H19&gt;=4,I19&lt;=2),"At Risk","Churn Risk")))</f>
        <v>Champion</v>
      </c>
      <c r="M19" t="str" cm="1">
        <f t="array" ref="M19">_xlfn.XLOOKUP(1,(Gym_data!$C:$C=$A19)*(Gym_data!$B:$B=$B19),Gym_data!$F:$F)</f>
        <v>Monthly</v>
      </c>
    </row>
    <row r="20" spans="1:13" x14ac:dyDescent="0.3">
      <c r="A20" t="s">
        <v>321</v>
      </c>
      <c r="B20" s="2">
        <f>_xlfn.MAXIFS(Gym_data!$B:$B,Gym_data!$C:$C,$A20)</f>
        <v>45883</v>
      </c>
      <c r="C20" s="2">
        <f>IF(M20="Monthly",B20+30,IF(M20="3 Months",B20+90,
 IF(M20="6 Months",B20+180,
 IF(M20="Yearly",B20+365,"Check Plan"))))</f>
        <v>45913</v>
      </c>
      <c r="D20" t="str">
        <f>IF($O$4&lt;=C20,"Active",IF($O$4-C20&lt;=30,"At Risk","Churn Risk"))</f>
        <v>Active</v>
      </c>
      <c r="E20">
        <f xml:space="preserve"> $O$4 - B20</f>
        <v>17</v>
      </c>
      <c r="F20">
        <f>COUNTIF(Gym_data!C:C, A20)</f>
        <v>4</v>
      </c>
      <c r="G20">
        <f>SUMIF(Gym_data!C:C, A20, Gym_data!E:E)</f>
        <v>4000</v>
      </c>
      <c r="H20">
        <f>IF(E20&lt;=30,5,IF(E20&lt;=60,4,IF(E20&lt;=90,3,IF(E20&lt;=120,2,1))))</f>
        <v>5</v>
      </c>
      <c r="I20">
        <f>IF(F20&gt;=5,5, IF(F20&gt;=4,4,IF(F20&gt;=3,3,IF(F20&gt;=2,2,1))))</f>
        <v>4</v>
      </c>
      <c r="J20">
        <f>IF(G20&gt;=5000,5,IF(G20&gt;=4000,4,IF(G20&gt;=3000,3,IF(G20&gt;=2000,2,1))))</f>
        <v>4</v>
      </c>
      <c r="K20" t="str">
        <f>H20&amp;I20&amp;J20</f>
        <v>544</v>
      </c>
      <c r="L20" t="str">
        <f>IF(AND(H20&gt;=4,I20&gt;=4,J20&gt;=4),"Champion",IF(AND(H20&gt;=3,I20&gt;=3,J20&gt;=3),"Loyal",IF(AND(H20&gt;=4,I20&lt;=2),"At Risk","Churn Risk")))</f>
        <v>Champion</v>
      </c>
      <c r="M20" t="str" cm="1">
        <f t="array" ref="M20">_xlfn.XLOOKUP(1,(Gym_data!$C:$C=$A20)*(Gym_data!$B:$B=$B20),Gym_data!$F:$F)</f>
        <v>Monthly</v>
      </c>
    </row>
    <row r="21" spans="1:13" x14ac:dyDescent="0.3">
      <c r="A21" t="s">
        <v>357</v>
      </c>
      <c r="B21" s="2">
        <f>_xlfn.MAXIFS(Gym_data!$B:$B,Gym_data!$C:$C,$A21)</f>
        <v>45870</v>
      </c>
      <c r="C21" s="2">
        <f>IF(M21="Monthly",B21+30,IF(M21="3 Months",B21+90,
 IF(M21="6 Months",B21+180,
 IF(M21="Yearly",B21+365,"Check Plan"))))</f>
        <v>45900</v>
      </c>
      <c r="D21" t="str">
        <f>IF($O$4&lt;=C21,"Active",IF($O$4-C21&lt;=30,"At Risk","Churn Risk"))</f>
        <v>Active</v>
      </c>
      <c r="E21">
        <f xml:space="preserve"> $O$4 - B21</f>
        <v>30</v>
      </c>
      <c r="F21">
        <f>COUNTIF(Gym_data!C:C, A21)</f>
        <v>4</v>
      </c>
      <c r="G21">
        <f>SUMIF(Gym_data!C:C, A21, Gym_data!E:E)</f>
        <v>4000</v>
      </c>
      <c r="H21">
        <f>IF(E21&lt;=30,5,IF(E21&lt;=60,4,IF(E21&lt;=90,3,IF(E21&lt;=120,2,1))))</f>
        <v>5</v>
      </c>
      <c r="I21">
        <f>IF(F21&gt;=5,5, IF(F21&gt;=4,4,IF(F21&gt;=3,3,IF(F21&gt;=2,2,1))))</f>
        <v>4</v>
      </c>
      <c r="J21">
        <f>IF(G21&gt;=5000,5,IF(G21&gt;=4000,4,IF(G21&gt;=3000,3,IF(G21&gt;=2000,2,1))))</f>
        <v>4</v>
      </c>
      <c r="K21" t="str">
        <f>H21&amp;I21&amp;J21</f>
        <v>544</v>
      </c>
      <c r="L21" t="str">
        <f>IF(AND(H21&gt;=4,I21&gt;=4,J21&gt;=4),"Champion",IF(AND(H21&gt;=3,I21&gt;=3,J21&gt;=3),"Loyal",IF(AND(H21&gt;=4,I21&lt;=2),"At Risk","Churn Risk")))</f>
        <v>Champion</v>
      </c>
      <c r="M21" t="str" cm="1">
        <f t="array" ref="M21">_xlfn.XLOOKUP(1,(Gym_data!$C:$C=$A21)*(Gym_data!$B:$B=$B21),Gym_data!$F:$F)</f>
        <v>Monthly</v>
      </c>
    </row>
    <row r="22" spans="1:13" x14ac:dyDescent="0.3">
      <c r="A22" t="s">
        <v>365</v>
      </c>
      <c r="B22" s="2">
        <f>_xlfn.MAXIFS(Gym_data!$B:$B,Gym_data!$C:$C,$A22)</f>
        <v>45883</v>
      </c>
      <c r="C22" s="2">
        <f>IF(M22="Monthly",B22+30,IF(M22="3 Months",B22+90,
 IF(M22="6 Months",B22+180,
 IF(M22="Yearly",B22+365,"Check Plan"))))</f>
        <v>45913</v>
      </c>
      <c r="D22" t="str">
        <f>IF($O$4&lt;=C22,"Active",IF($O$4-C22&lt;=30,"At Risk","Churn Risk"))</f>
        <v>Active</v>
      </c>
      <c r="E22">
        <f xml:space="preserve"> $O$4 - B22</f>
        <v>17</v>
      </c>
      <c r="F22">
        <f>COUNTIF(Gym_data!C:C, A22)</f>
        <v>4</v>
      </c>
      <c r="G22">
        <f>SUMIF(Gym_data!C:C, A22, Gym_data!E:E)</f>
        <v>4000</v>
      </c>
      <c r="H22">
        <f>IF(E22&lt;=30,5,IF(E22&lt;=60,4,IF(E22&lt;=90,3,IF(E22&lt;=120,2,1))))</f>
        <v>5</v>
      </c>
      <c r="I22">
        <f>IF(F22&gt;=5,5, IF(F22&gt;=4,4,IF(F22&gt;=3,3,IF(F22&gt;=2,2,1))))</f>
        <v>4</v>
      </c>
      <c r="J22">
        <f>IF(G22&gt;=5000,5,IF(G22&gt;=4000,4,IF(G22&gt;=3000,3,IF(G22&gt;=2000,2,1))))</f>
        <v>4</v>
      </c>
      <c r="K22" t="str">
        <f>H22&amp;I22&amp;J22</f>
        <v>544</v>
      </c>
      <c r="L22" t="str">
        <f>IF(AND(H22&gt;=4,I22&gt;=4,J22&gt;=4),"Champion",IF(AND(H22&gt;=3,I22&gt;=3,J22&gt;=3),"Loyal",IF(AND(H22&gt;=4,I22&lt;=2),"At Risk","Churn Risk")))</f>
        <v>Champion</v>
      </c>
      <c r="M22" t="str" cm="1">
        <f t="array" ref="M22">_xlfn.XLOOKUP(1,(Gym_data!$C:$C=$A22)*(Gym_data!$B:$B=$B22),Gym_data!$F:$F)</f>
        <v>Monthly</v>
      </c>
    </row>
    <row r="23" spans="1:13" x14ac:dyDescent="0.3">
      <c r="A23" t="s">
        <v>407</v>
      </c>
      <c r="B23" s="2">
        <f>_xlfn.MAXIFS(Gym_data!$B:$B,Gym_data!$C:$C,$A23)</f>
        <v>45875</v>
      </c>
      <c r="C23" s="2">
        <f>IF(M23="Monthly",B23+30,IF(M23="3 Months",B23+90,
 IF(M23="6 Months",B23+180,
 IF(M23="Yearly",B23+365,"Check Plan"))))</f>
        <v>45905</v>
      </c>
      <c r="D23" t="str">
        <f>IF($O$4&lt;=C23,"Active",IF($O$4-C23&lt;=30,"At Risk","Churn Risk"))</f>
        <v>Active</v>
      </c>
      <c r="E23">
        <f xml:space="preserve"> $O$4 - B23</f>
        <v>25</v>
      </c>
      <c r="F23">
        <f>COUNTIF(Gym_data!C:C, A23)</f>
        <v>4</v>
      </c>
      <c r="G23">
        <f>SUMIF(Gym_data!C:C, A23, Gym_data!E:E)</f>
        <v>4000</v>
      </c>
      <c r="H23">
        <f>IF(E23&lt;=30,5,IF(E23&lt;=60,4,IF(E23&lt;=90,3,IF(E23&lt;=120,2,1))))</f>
        <v>5</v>
      </c>
      <c r="I23">
        <f>IF(F23&gt;=5,5, IF(F23&gt;=4,4,IF(F23&gt;=3,3,IF(F23&gt;=2,2,1))))</f>
        <v>4</v>
      </c>
      <c r="J23">
        <f>IF(G23&gt;=5000,5,IF(G23&gt;=4000,4,IF(G23&gt;=3000,3,IF(G23&gt;=2000,2,1))))</f>
        <v>4</v>
      </c>
      <c r="K23" t="str">
        <f>H23&amp;I23&amp;J23</f>
        <v>544</v>
      </c>
      <c r="L23" t="str">
        <f>IF(AND(H23&gt;=4,I23&gt;=4,J23&gt;=4),"Champion",IF(AND(H23&gt;=3,I23&gt;=3,J23&gt;=3),"Loyal",IF(AND(H23&gt;=4,I23&lt;=2),"At Risk","Churn Risk")))</f>
        <v>Champion</v>
      </c>
      <c r="M23" t="str" cm="1">
        <f t="array" ref="M23">_xlfn.XLOOKUP(1,(Gym_data!$C:$C=$A23)*(Gym_data!$B:$B=$B23),Gym_data!$F:$F)</f>
        <v>Monthly</v>
      </c>
    </row>
    <row r="24" spans="1:13" x14ac:dyDescent="0.3">
      <c r="A24" t="s">
        <v>295</v>
      </c>
      <c r="B24" s="2">
        <f>_xlfn.MAXIFS(Gym_data!$B:$B,Gym_data!$C:$C,$A24)</f>
        <v>45883</v>
      </c>
      <c r="C24" s="2">
        <f>IF(M24="Monthly",B24+30,IF(M24="3 Months",B24+90,
 IF(M24="6 Months",B24+180,
 IF(M24="Yearly",B24+365,"Check Plan"))))</f>
        <v>45913</v>
      </c>
      <c r="D24" t="str">
        <f>IF($O$4&lt;=C24,"Active",IF($O$4-C24&lt;=30,"At Risk","Churn Risk"))</f>
        <v>Active</v>
      </c>
      <c r="E24">
        <f xml:space="preserve"> $O$4 - B24</f>
        <v>17</v>
      </c>
      <c r="F24">
        <f>COUNTIF(Gym_data!C:C, A24)</f>
        <v>3</v>
      </c>
      <c r="G24">
        <f>SUMIF(Gym_data!C:C, A24, Gym_data!E:E)</f>
        <v>3000</v>
      </c>
      <c r="H24">
        <f>IF(E24&lt;=30,5,IF(E24&lt;=60,4,IF(E24&lt;=90,3,IF(E24&lt;=120,2,1))))</f>
        <v>5</v>
      </c>
      <c r="I24">
        <f>IF(F24&gt;=5,5, IF(F24&gt;=4,4,IF(F24&gt;=3,3,IF(F24&gt;=2,2,1))))</f>
        <v>3</v>
      </c>
      <c r="J24">
        <f>IF(G24&gt;=5000,5,IF(G24&gt;=4000,4,IF(G24&gt;=3000,3,IF(G24&gt;=2000,2,1))))</f>
        <v>3</v>
      </c>
      <c r="K24" t="str">
        <f>H24&amp;I24&amp;J24</f>
        <v>533</v>
      </c>
      <c r="L24" t="str">
        <f>IF(AND(H24&gt;=4,I24&gt;=4,J24&gt;=4),"Champion",IF(AND(H24&gt;=3,I24&gt;=3,J24&gt;=3),"Loyal",IF(AND(H24&gt;=4,I24&lt;=2),"At Risk","Churn Risk")))</f>
        <v>Loyal</v>
      </c>
      <c r="M24" t="str" cm="1">
        <f t="array" ref="M24">_xlfn.XLOOKUP(1,(Gym_data!$C:$C=$A24)*(Gym_data!$B:$B=$B24),Gym_data!$F:$F)</f>
        <v>Monthly</v>
      </c>
    </row>
    <row r="25" spans="1:13" x14ac:dyDescent="0.3">
      <c r="A25" t="s">
        <v>288</v>
      </c>
      <c r="B25" s="2">
        <f>_xlfn.MAXIFS(Gym_data!$B:$B,Gym_data!$C:$C,$A25)</f>
        <v>45888</v>
      </c>
      <c r="C25" s="2">
        <f>IF(M25="Monthly",B25+30,IF(M25="3 Months",B25+90,
 IF(M25="6 Months",B25+180,
 IF(M25="Yearly",B25+365,"Check Plan"))))</f>
        <v>45978</v>
      </c>
      <c r="D25" t="str">
        <f>IF($O$4&lt;=C25,"Active",IF($O$4-C25&lt;=30,"At Risk","Churn Risk"))</f>
        <v>Active</v>
      </c>
      <c r="E25">
        <f xml:space="preserve"> $O$4 - B25</f>
        <v>12</v>
      </c>
      <c r="F25">
        <f>COUNTIF(Gym_data!C:C, A25)</f>
        <v>2</v>
      </c>
      <c r="G25">
        <f>SUMIF(Gym_data!C:C, A25, Gym_data!E:E)</f>
        <v>6000</v>
      </c>
      <c r="H25">
        <f>IF(E25&lt;=30,5,IF(E25&lt;=60,4,IF(E25&lt;=90,3,IF(E25&lt;=120,2,1))))</f>
        <v>5</v>
      </c>
      <c r="I25">
        <f>IF(F25&gt;=5,5, IF(F25&gt;=4,4,IF(F25&gt;=3,3,IF(F25&gt;=2,2,1))))</f>
        <v>2</v>
      </c>
      <c r="J25">
        <f>IF(G25&gt;=5000,5,IF(G25&gt;=4000,4,IF(G25&gt;=3000,3,IF(G25&gt;=2000,2,1))))</f>
        <v>5</v>
      </c>
      <c r="K25" t="str">
        <f>H25&amp;I25&amp;J25</f>
        <v>525</v>
      </c>
      <c r="L25" t="str">
        <f>IF(AND(H25&gt;=4,I25&gt;=4,J25&gt;=4),"Champion",IF(AND(H25&gt;=3,I25&gt;=3,J25&gt;=3),"Loyal",IF(AND(H25&gt;=4,I25&lt;=2),"At Risk","Churn Risk")))</f>
        <v>At Risk</v>
      </c>
      <c r="M25" t="str" cm="1">
        <f t="array" ref="M25">_xlfn.XLOOKUP(1,(Gym_data!$C:$C=$A25)*(Gym_data!$B:$B=$B25),Gym_data!$F:$F)</f>
        <v>3 Months</v>
      </c>
    </row>
    <row r="26" spans="1:13" x14ac:dyDescent="0.3">
      <c r="A26" t="s">
        <v>307</v>
      </c>
      <c r="B26" s="2">
        <f>_xlfn.MAXIFS(Gym_data!$B:$B,Gym_data!$C:$C,$A26)</f>
        <v>45883</v>
      </c>
      <c r="C26" s="2">
        <f>IF(M26="Monthly",B26+30,IF(M26="3 Months",B26+90,
 IF(M26="6 Months",B26+180,
 IF(M26="Yearly",B26+365,"Check Plan"))))</f>
        <v>45913</v>
      </c>
      <c r="D26" t="str">
        <f>IF($O$4&lt;=C26,"Active",IF($O$4-C26&lt;=30,"At Risk","Churn Risk"))</f>
        <v>Active</v>
      </c>
      <c r="E26">
        <f xml:space="preserve"> $O$4 - B26</f>
        <v>17</v>
      </c>
      <c r="F26">
        <f>COUNTIF(Gym_data!C:C, A26)</f>
        <v>2</v>
      </c>
      <c r="G26">
        <f>SUMIF(Gym_data!C:C, A26, Gym_data!E:E)</f>
        <v>4000</v>
      </c>
      <c r="H26">
        <f>IF(E26&lt;=30,5,IF(E26&lt;=60,4,IF(E26&lt;=90,3,IF(E26&lt;=120,2,1))))</f>
        <v>5</v>
      </c>
      <c r="I26">
        <f>IF(F26&gt;=5,5, IF(F26&gt;=4,4,IF(F26&gt;=3,3,IF(F26&gt;=2,2,1))))</f>
        <v>2</v>
      </c>
      <c r="J26">
        <f>IF(G26&gt;=5000,5,IF(G26&gt;=4000,4,IF(G26&gt;=3000,3,IF(G26&gt;=2000,2,1))))</f>
        <v>4</v>
      </c>
      <c r="K26" t="str">
        <f>H26&amp;I26&amp;J26</f>
        <v>524</v>
      </c>
      <c r="L26" t="str">
        <f>IF(AND(H26&gt;=4,I26&gt;=4,J26&gt;=4),"Champion",IF(AND(H26&gt;=3,I26&gt;=3,J26&gt;=3),"Loyal",IF(AND(H26&gt;=4,I26&lt;=2),"At Risk","Churn Risk")))</f>
        <v>At Risk</v>
      </c>
      <c r="M26" t="str" cm="1">
        <f t="array" ref="M26">_xlfn.XLOOKUP(1,(Gym_data!$C:$C=$A26)*(Gym_data!$B:$B=$B26),Gym_data!$F:$F)</f>
        <v>Monthly</v>
      </c>
    </row>
    <row r="27" spans="1:13" x14ac:dyDescent="0.3">
      <c r="A27" t="s">
        <v>379</v>
      </c>
      <c r="B27" s="2">
        <f>_xlfn.MAXIFS(Gym_data!$B:$B,Gym_data!$C:$C,$A27)</f>
        <v>45888</v>
      </c>
      <c r="C27" s="2">
        <f>IF(M27="Monthly",B27+30,IF(M27="3 Months",B27+90,
 IF(M27="6 Months",B27+180,
 IF(M27="Yearly",B27+365,"Check Plan"))))</f>
        <v>45978</v>
      </c>
      <c r="D27" t="str">
        <f>IF($O$4&lt;=C27,"Active",IF($O$4-C27&lt;=30,"At Risk","Churn Risk"))</f>
        <v>Active</v>
      </c>
      <c r="E27">
        <f xml:space="preserve"> $O$4 - B27</f>
        <v>12</v>
      </c>
      <c r="F27">
        <f>COUNTIF(Gym_data!C:C, A27)</f>
        <v>2</v>
      </c>
      <c r="G27">
        <f>SUMIF(Gym_data!C:C, A27, Gym_data!E:E)</f>
        <v>4800</v>
      </c>
      <c r="H27">
        <f>IF(E27&lt;=30,5,IF(E27&lt;=60,4,IF(E27&lt;=90,3,IF(E27&lt;=120,2,1))))</f>
        <v>5</v>
      </c>
      <c r="I27">
        <f>IF(F27&gt;=5,5, IF(F27&gt;=4,4,IF(F27&gt;=3,3,IF(F27&gt;=2,2,1))))</f>
        <v>2</v>
      </c>
      <c r="J27">
        <f>IF(G27&gt;=5000,5,IF(G27&gt;=4000,4,IF(G27&gt;=3000,3,IF(G27&gt;=2000,2,1))))</f>
        <v>4</v>
      </c>
      <c r="K27" t="str">
        <f>H27&amp;I27&amp;J27</f>
        <v>524</v>
      </c>
      <c r="L27" t="str">
        <f>IF(AND(H27&gt;=4,I27&gt;=4,J27&gt;=4),"Champion",IF(AND(H27&gt;=3,I27&gt;=3,J27&gt;=3),"Loyal",IF(AND(H27&gt;=4,I27&lt;=2),"At Risk","Churn Risk")))</f>
        <v>At Risk</v>
      </c>
      <c r="M27" t="str" cm="1">
        <f t="array" ref="M27">_xlfn.XLOOKUP(1,(Gym_data!$C:$C=$A27)*(Gym_data!$B:$B=$B27),Gym_data!$F:$F)</f>
        <v>3 Months</v>
      </c>
    </row>
    <row r="28" spans="1:13" x14ac:dyDescent="0.3">
      <c r="A28" t="s">
        <v>211</v>
      </c>
      <c r="B28" s="2">
        <f>_xlfn.MAXIFS(Gym_data!$B:$B,Gym_data!$C:$C,$A28)</f>
        <v>45875</v>
      </c>
      <c r="C28" s="2">
        <f>IF(M28="Monthly",B28+30,IF(M28="3 Months",B28+90,
 IF(M28="6 Months",B28+180,
 IF(M28="Yearly",B28+365,"Check Plan"))))</f>
        <v>45905</v>
      </c>
      <c r="D28" t="str">
        <f>IF($O$4&lt;=C28,"Active",IF($O$4-C28&lt;=30,"At Risk","Churn Risk"))</f>
        <v>Active</v>
      </c>
      <c r="E28">
        <f xml:space="preserve"> $O$4 - B28</f>
        <v>25</v>
      </c>
      <c r="F28">
        <f>COUNTIF(Gym_data!C:C, A28)</f>
        <v>2</v>
      </c>
      <c r="G28">
        <f>SUMIF(Gym_data!C:C, A28, Gym_data!E:E)</f>
        <v>2000</v>
      </c>
      <c r="H28">
        <f>IF(E28&lt;=30,5,IF(E28&lt;=60,4,IF(E28&lt;=90,3,IF(E28&lt;=120,2,1))))</f>
        <v>5</v>
      </c>
      <c r="I28">
        <f>IF(F28&gt;=5,5, IF(F28&gt;=4,4,IF(F28&gt;=3,3,IF(F28&gt;=2,2,1))))</f>
        <v>2</v>
      </c>
      <c r="J28">
        <f>IF(G28&gt;=5000,5,IF(G28&gt;=4000,4,IF(G28&gt;=3000,3,IF(G28&gt;=2000,2,1))))</f>
        <v>2</v>
      </c>
      <c r="K28" t="str">
        <f>H28&amp;I28&amp;J28</f>
        <v>522</v>
      </c>
      <c r="L28" t="str">
        <f>IF(AND(H28&gt;=4,I28&gt;=4,J28&gt;=4),"Champion",IF(AND(H28&gt;=3,I28&gt;=3,J28&gt;=3),"Loyal",IF(AND(H28&gt;=4,I28&lt;=2),"At Risk","Churn Risk")))</f>
        <v>At Risk</v>
      </c>
      <c r="M28" t="str" cm="1">
        <f t="array" ref="M28">_xlfn.XLOOKUP(1,(Gym_data!$C:$C=$A28)*(Gym_data!$B:$B=$B28),Gym_data!$F:$F)</f>
        <v>Monthly</v>
      </c>
    </row>
    <row r="29" spans="1:13" x14ac:dyDescent="0.3">
      <c r="A29" t="s">
        <v>215</v>
      </c>
      <c r="B29" s="2">
        <f>_xlfn.MAXIFS(Gym_data!$B:$B,Gym_data!$C:$C,$A29)</f>
        <v>45883</v>
      </c>
      <c r="C29" s="2">
        <f>IF(M29="Monthly",B29+30,IF(M29="3 Months",B29+90,
 IF(M29="6 Months",B29+180,
 IF(M29="Yearly",B29+365,"Check Plan"))))</f>
        <v>45913</v>
      </c>
      <c r="D29" t="str">
        <f>IF($O$4&lt;=C29,"Active",IF($O$4-C29&lt;=30,"At Risk","Churn Risk"))</f>
        <v>Active</v>
      </c>
      <c r="E29">
        <f xml:space="preserve"> $O$4 - B29</f>
        <v>17</v>
      </c>
      <c r="F29">
        <f>COUNTIF(Gym_data!C:C, A29)</f>
        <v>2</v>
      </c>
      <c r="G29">
        <f>SUMIF(Gym_data!C:C, A29, Gym_data!E:E)</f>
        <v>2500</v>
      </c>
      <c r="H29">
        <f>IF(E29&lt;=30,5,IF(E29&lt;=60,4,IF(E29&lt;=90,3,IF(E29&lt;=120,2,1))))</f>
        <v>5</v>
      </c>
      <c r="I29">
        <f>IF(F29&gt;=5,5, IF(F29&gt;=4,4,IF(F29&gt;=3,3,IF(F29&gt;=2,2,1))))</f>
        <v>2</v>
      </c>
      <c r="J29">
        <f>IF(G29&gt;=5000,5,IF(G29&gt;=4000,4,IF(G29&gt;=3000,3,IF(G29&gt;=2000,2,1))))</f>
        <v>2</v>
      </c>
      <c r="K29" t="str">
        <f>H29&amp;I29&amp;J29</f>
        <v>522</v>
      </c>
      <c r="L29" t="str">
        <f>IF(AND(H29&gt;=4,I29&gt;=4,J29&gt;=4),"Champion",IF(AND(H29&gt;=3,I29&gt;=3,J29&gt;=3),"Loyal",IF(AND(H29&gt;=4,I29&lt;=2),"At Risk","Churn Risk")))</f>
        <v>At Risk</v>
      </c>
      <c r="M29" t="str" cm="1">
        <f t="array" ref="M29">_xlfn.XLOOKUP(1,(Gym_data!$C:$C=$A29)*(Gym_data!$B:$B=$B29),Gym_data!$F:$F)</f>
        <v>Monthly</v>
      </c>
    </row>
    <row r="30" spans="1:13" x14ac:dyDescent="0.3">
      <c r="A30" t="s">
        <v>266</v>
      </c>
      <c r="B30" s="2">
        <f>_xlfn.MAXIFS(Gym_data!$B:$B,Gym_data!$C:$C,$A30)</f>
        <v>45872</v>
      </c>
      <c r="C30" s="2">
        <f>IF(M30="Monthly",B30+30,IF(M30="3 Months",B30+90,
 IF(M30="6 Months",B30+180,
 IF(M30="Yearly",B30+365,"Check Plan"))))</f>
        <v>45902</v>
      </c>
      <c r="D30" t="str">
        <f>IF($O$4&lt;=C30,"Active",IF($O$4-C30&lt;=30,"At Risk","Churn Risk"))</f>
        <v>Active</v>
      </c>
      <c r="E30">
        <f xml:space="preserve"> $O$4 - B30</f>
        <v>28</v>
      </c>
      <c r="F30">
        <f>COUNTIF(Gym_data!C:C, A30)</f>
        <v>2</v>
      </c>
      <c r="G30">
        <f>SUMIF(Gym_data!C:C, A30, Gym_data!E:E)</f>
        <v>2000</v>
      </c>
      <c r="H30">
        <f>IF(E30&lt;=30,5,IF(E30&lt;=60,4,IF(E30&lt;=90,3,IF(E30&lt;=120,2,1))))</f>
        <v>5</v>
      </c>
      <c r="I30">
        <f>IF(F30&gt;=5,5, IF(F30&gt;=4,4,IF(F30&gt;=3,3,IF(F30&gt;=2,2,1))))</f>
        <v>2</v>
      </c>
      <c r="J30">
        <f>IF(G30&gt;=5000,5,IF(G30&gt;=4000,4,IF(G30&gt;=3000,3,IF(G30&gt;=2000,2,1))))</f>
        <v>2</v>
      </c>
      <c r="K30" t="str">
        <f>H30&amp;I30&amp;J30</f>
        <v>522</v>
      </c>
      <c r="L30" t="str">
        <f>IF(AND(H30&gt;=4,I30&gt;=4,J30&gt;=4),"Champion",IF(AND(H30&gt;=3,I30&gt;=3,J30&gt;=3),"Loyal",IF(AND(H30&gt;=4,I30&lt;=2),"At Risk","Churn Risk")))</f>
        <v>At Risk</v>
      </c>
      <c r="M30" t="str" cm="1">
        <f t="array" ref="M30">_xlfn.XLOOKUP(1,(Gym_data!$C:$C=$A30)*(Gym_data!$B:$B=$B30),Gym_data!$F:$F)</f>
        <v>Monthly</v>
      </c>
    </row>
    <row r="31" spans="1:13" x14ac:dyDescent="0.3">
      <c r="A31" t="s">
        <v>268</v>
      </c>
      <c r="B31" s="2">
        <f>_xlfn.MAXIFS(Gym_data!$B:$B,Gym_data!$C:$C,$A31)</f>
        <v>45880</v>
      </c>
      <c r="C31" s="2">
        <f>IF(M31="Monthly",B31+30,IF(M31="3 Months",B31+90,
 IF(M31="6 Months",B31+180,
 IF(M31="Yearly",B31+365,"Check Plan"))))</f>
        <v>45910</v>
      </c>
      <c r="D31" t="str">
        <f>IF($O$4&lt;=C31,"Active",IF($O$4-C31&lt;=30,"At Risk","Churn Risk"))</f>
        <v>Active</v>
      </c>
      <c r="E31">
        <f xml:space="preserve"> $O$4 - B31</f>
        <v>20</v>
      </c>
      <c r="F31">
        <f>COUNTIF(Gym_data!C:C, A31)</f>
        <v>2</v>
      </c>
      <c r="G31">
        <f>SUMIF(Gym_data!C:C, A31, Gym_data!E:E)</f>
        <v>2000</v>
      </c>
      <c r="H31">
        <f>IF(E31&lt;=30,5,IF(E31&lt;=60,4,IF(E31&lt;=90,3,IF(E31&lt;=120,2,1))))</f>
        <v>5</v>
      </c>
      <c r="I31">
        <f>IF(F31&gt;=5,5, IF(F31&gt;=4,4,IF(F31&gt;=3,3,IF(F31&gt;=2,2,1))))</f>
        <v>2</v>
      </c>
      <c r="J31">
        <f>IF(G31&gt;=5000,5,IF(G31&gt;=4000,4,IF(G31&gt;=3000,3,IF(G31&gt;=2000,2,1))))</f>
        <v>2</v>
      </c>
      <c r="K31" t="str">
        <f>H31&amp;I31&amp;J31</f>
        <v>522</v>
      </c>
      <c r="L31" t="str">
        <f>IF(AND(H31&gt;=4,I31&gt;=4,J31&gt;=4),"Champion",IF(AND(H31&gt;=3,I31&gt;=3,J31&gt;=3),"Loyal",IF(AND(H31&gt;=4,I31&lt;=2),"At Risk","Churn Risk")))</f>
        <v>At Risk</v>
      </c>
      <c r="M31" t="str" cm="1">
        <f t="array" ref="M31">_xlfn.XLOOKUP(1,(Gym_data!$C:$C=$A31)*(Gym_data!$B:$B=$B31),Gym_data!$F:$F)</f>
        <v>Monthly</v>
      </c>
    </row>
    <row r="32" spans="1:13" x14ac:dyDescent="0.3">
      <c r="A32" t="s">
        <v>334</v>
      </c>
      <c r="B32" s="2">
        <f>_xlfn.MAXIFS(Gym_data!$B:$B,Gym_data!$C:$C,$A32)</f>
        <v>45870</v>
      </c>
      <c r="C32" s="2">
        <f>IF(M32="Monthly",B32+30,IF(M32="3 Months",B32+90,
 IF(M32="6 Months",B32+180,
 IF(M32="Yearly",B32+365,"Check Plan"))))</f>
        <v>45900</v>
      </c>
      <c r="D32" t="str">
        <f>IF($O$4&lt;=C32,"Active",IF($O$4-C32&lt;=30,"At Risk","Churn Risk"))</f>
        <v>Active</v>
      </c>
      <c r="E32">
        <f xml:space="preserve"> $O$4 - B32</f>
        <v>30</v>
      </c>
      <c r="F32">
        <f>COUNTIF(Gym_data!C:C, A32)</f>
        <v>2</v>
      </c>
      <c r="G32">
        <f>SUMIF(Gym_data!C:C, A32, Gym_data!E:E)</f>
        <v>2000</v>
      </c>
      <c r="H32">
        <f>IF(E32&lt;=30,5,IF(E32&lt;=60,4,IF(E32&lt;=90,3,IF(E32&lt;=120,2,1))))</f>
        <v>5</v>
      </c>
      <c r="I32">
        <f>IF(F32&gt;=5,5, IF(F32&gt;=4,4,IF(F32&gt;=3,3,IF(F32&gt;=2,2,1))))</f>
        <v>2</v>
      </c>
      <c r="J32">
        <f>IF(G32&gt;=5000,5,IF(G32&gt;=4000,4,IF(G32&gt;=3000,3,IF(G32&gt;=2000,2,1))))</f>
        <v>2</v>
      </c>
      <c r="K32" t="str">
        <f>H32&amp;I32&amp;J32</f>
        <v>522</v>
      </c>
      <c r="L32" t="str">
        <f>IF(AND(H32&gt;=4,I32&gt;=4,J32&gt;=4),"Champion",IF(AND(H32&gt;=3,I32&gt;=3,J32&gt;=3),"Loyal",IF(AND(H32&gt;=4,I32&lt;=2),"At Risk","Churn Risk")))</f>
        <v>At Risk</v>
      </c>
      <c r="M32" t="str" cm="1">
        <f t="array" ref="M32">_xlfn.XLOOKUP(1,(Gym_data!$C:$C=$A32)*(Gym_data!$B:$B=$B32),Gym_data!$F:$F)</f>
        <v>Monthly</v>
      </c>
    </row>
    <row r="33" spans="1:13" x14ac:dyDescent="0.3">
      <c r="A33" t="s">
        <v>343</v>
      </c>
      <c r="B33" s="2">
        <f>_xlfn.MAXIFS(Gym_data!$B:$B,Gym_data!$C:$C,$A33)</f>
        <v>45880</v>
      </c>
      <c r="C33" s="2">
        <f>IF(M33="Monthly",B33+30,IF(M33="3 Months",B33+90,
 IF(M33="6 Months",B33+180,
 IF(M33="Yearly",B33+365,"Check Plan"))))</f>
        <v>45910</v>
      </c>
      <c r="D33" t="str">
        <f>IF($O$4&lt;=C33,"Active",IF($O$4-C33&lt;=30,"At Risk","Churn Risk"))</f>
        <v>Active</v>
      </c>
      <c r="E33">
        <f xml:space="preserve"> $O$4 - B33</f>
        <v>20</v>
      </c>
      <c r="F33">
        <f>COUNTIF(Gym_data!C:C, A33)</f>
        <v>2</v>
      </c>
      <c r="G33">
        <f>SUMIF(Gym_data!C:C, A33, Gym_data!E:E)</f>
        <v>2000</v>
      </c>
      <c r="H33">
        <f>IF(E33&lt;=30,5,IF(E33&lt;=60,4,IF(E33&lt;=90,3,IF(E33&lt;=120,2,1))))</f>
        <v>5</v>
      </c>
      <c r="I33">
        <f>IF(F33&gt;=5,5, IF(F33&gt;=4,4,IF(F33&gt;=3,3,IF(F33&gt;=2,2,1))))</f>
        <v>2</v>
      </c>
      <c r="J33">
        <f>IF(G33&gt;=5000,5,IF(G33&gt;=4000,4,IF(G33&gt;=3000,3,IF(G33&gt;=2000,2,1))))</f>
        <v>2</v>
      </c>
      <c r="K33" t="str">
        <f>H33&amp;I33&amp;J33</f>
        <v>522</v>
      </c>
      <c r="L33" t="str">
        <f>IF(AND(H33&gt;=4,I33&gt;=4,J33&gt;=4),"Champion",IF(AND(H33&gt;=3,I33&gt;=3,J33&gt;=3),"Loyal",IF(AND(H33&gt;=4,I33&lt;=2),"At Risk","Churn Risk")))</f>
        <v>At Risk</v>
      </c>
      <c r="M33" t="str" cm="1">
        <f t="array" ref="M33">_xlfn.XLOOKUP(1,(Gym_data!$C:$C=$A33)*(Gym_data!$B:$B=$B33),Gym_data!$F:$F)</f>
        <v>Monthly</v>
      </c>
    </row>
    <row r="34" spans="1:13" x14ac:dyDescent="0.3">
      <c r="A34" t="s">
        <v>383</v>
      </c>
      <c r="B34" s="2">
        <f>_xlfn.MAXIFS(Gym_data!$B:$B,Gym_data!$C:$C,$A34)</f>
        <v>45887</v>
      </c>
      <c r="C34" s="2">
        <f>IF(M34="Monthly",B34+30,IF(M34="3 Months",B34+90,
 IF(M34="6 Months",B34+180,
 IF(M34="Yearly",B34+365,"Check Plan"))))</f>
        <v>45917</v>
      </c>
      <c r="D34" t="str">
        <f>IF($O$4&lt;=C34,"Active",IF($O$4-C34&lt;=30,"At Risk","Churn Risk"))</f>
        <v>Active</v>
      </c>
      <c r="E34">
        <f xml:space="preserve"> $O$4 - B34</f>
        <v>13</v>
      </c>
      <c r="F34">
        <f>COUNTIF(Gym_data!C:C, A34)</f>
        <v>2</v>
      </c>
      <c r="G34">
        <f>SUMIF(Gym_data!C:C, A34, Gym_data!E:E)</f>
        <v>2000</v>
      </c>
      <c r="H34">
        <f>IF(E34&lt;=30,5,IF(E34&lt;=60,4,IF(E34&lt;=90,3,IF(E34&lt;=120,2,1))))</f>
        <v>5</v>
      </c>
      <c r="I34">
        <f>IF(F34&gt;=5,5, IF(F34&gt;=4,4,IF(F34&gt;=3,3,IF(F34&gt;=2,2,1))))</f>
        <v>2</v>
      </c>
      <c r="J34">
        <f>IF(G34&gt;=5000,5,IF(G34&gt;=4000,4,IF(G34&gt;=3000,3,IF(G34&gt;=2000,2,1))))</f>
        <v>2</v>
      </c>
      <c r="K34" t="str">
        <f>H34&amp;I34&amp;J34</f>
        <v>522</v>
      </c>
      <c r="L34" t="str">
        <f>IF(AND(H34&gt;=4,I34&gt;=4,J34&gt;=4),"Champion",IF(AND(H34&gt;=3,I34&gt;=3,J34&gt;=3),"Loyal",IF(AND(H34&gt;=4,I34&lt;=2),"At Risk","Churn Risk")))</f>
        <v>At Risk</v>
      </c>
      <c r="M34" t="str" cm="1">
        <f t="array" ref="M34">_xlfn.XLOOKUP(1,(Gym_data!$C:$C=$A34)*(Gym_data!$B:$B=$B34),Gym_data!$F:$F)</f>
        <v>Monthly</v>
      </c>
    </row>
    <row r="35" spans="1:13" x14ac:dyDescent="0.3">
      <c r="A35" t="s">
        <v>341</v>
      </c>
      <c r="B35" s="2">
        <f>_xlfn.MAXIFS(Gym_data!$B:$B,Gym_data!$C:$C,$A35)</f>
        <v>45874</v>
      </c>
      <c r="C35" s="2">
        <f>IF(M35="Monthly",B35+30,IF(M35="3 Months",B35+90,
 IF(M35="6 Months",B35+180,
 IF(M35="Yearly",B35+365,"Check Plan"))))</f>
        <v>45904</v>
      </c>
      <c r="D35" t="str">
        <f>IF($O$4&lt;=C35,"Active",IF($O$4-C35&lt;=30,"At Risk","Churn Risk"))</f>
        <v>Active</v>
      </c>
      <c r="E35">
        <f xml:space="preserve"> $O$4 - B35</f>
        <v>26</v>
      </c>
      <c r="F35">
        <f>COUNTIF(Gym_data!C:C, A35)</f>
        <v>2</v>
      </c>
      <c r="G35">
        <f>SUMIF(Gym_data!C:C, A35, Gym_data!E:E)</f>
        <v>1500</v>
      </c>
      <c r="H35">
        <f>IF(E35&lt;=30,5,IF(E35&lt;=60,4,IF(E35&lt;=90,3,IF(E35&lt;=120,2,1))))</f>
        <v>5</v>
      </c>
      <c r="I35">
        <f>IF(F35&gt;=5,5, IF(F35&gt;=4,4,IF(F35&gt;=3,3,IF(F35&gt;=2,2,1))))</f>
        <v>2</v>
      </c>
      <c r="J35">
        <f>IF(G35&gt;=5000,5,IF(G35&gt;=4000,4,IF(G35&gt;=3000,3,IF(G35&gt;=2000,2,1))))</f>
        <v>1</v>
      </c>
      <c r="K35" t="str">
        <f>H35&amp;I35&amp;J35</f>
        <v>521</v>
      </c>
      <c r="L35" t="str">
        <f>IF(AND(H35&gt;=4,I35&gt;=4,J35&gt;=4),"Champion",IF(AND(H35&gt;=3,I35&gt;=3,J35&gt;=3),"Loyal",IF(AND(H35&gt;=4,I35&lt;=2),"At Risk","Churn Risk")))</f>
        <v>At Risk</v>
      </c>
      <c r="M35" t="str" cm="1">
        <f t="array" ref="M35">_xlfn.XLOOKUP(1,(Gym_data!$C:$C=$A35)*(Gym_data!$B:$B=$B35),Gym_data!$F:$F)</f>
        <v>Monthly</v>
      </c>
    </row>
    <row r="36" spans="1:13" x14ac:dyDescent="0.3">
      <c r="A36" t="s">
        <v>227</v>
      </c>
      <c r="B36" s="2">
        <f>_xlfn.MAXIFS(Gym_data!$B:$B,Gym_data!$C:$C,$A36)</f>
        <v>45875</v>
      </c>
      <c r="C36" s="2">
        <f>IF(M36="Monthly",B36+30,IF(M36="3 Months",B36+90,
 IF(M36="6 Months",B36+180,
 IF(M36="Yearly",B36+365,"Check Plan"))))</f>
        <v>45905</v>
      </c>
      <c r="D36" t="str">
        <f>IF($O$4&lt;=C36,"Active",IF($O$4-C36&lt;=30,"At Risk","Churn Risk"))</f>
        <v>Active</v>
      </c>
      <c r="E36">
        <f xml:space="preserve"> $O$4 - B36</f>
        <v>25</v>
      </c>
      <c r="F36">
        <f>COUNTIF(Gym_data!C:C, A36)</f>
        <v>1</v>
      </c>
      <c r="G36">
        <f>SUMIF(Gym_data!C:C, A36, Gym_data!E:E)</f>
        <v>2000</v>
      </c>
      <c r="H36">
        <f>IF(E36&lt;=30,5,IF(E36&lt;=60,4,IF(E36&lt;=90,3,IF(E36&lt;=120,2,1))))</f>
        <v>5</v>
      </c>
      <c r="I36">
        <f>IF(F36&gt;=5,5, IF(F36&gt;=4,4,IF(F36&gt;=3,3,IF(F36&gt;=2,2,1))))</f>
        <v>1</v>
      </c>
      <c r="J36">
        <f>IF(G36&gt;=5000,5,IF(G36&gt;=4000,4,IF(G36&gt;=3000,3,IF(G36&gt;=2000,2,1))))</f>
        <v>2</v>
      </c>
      <c r="K36" t="str">
        <f>H36&amp;I36&amp;J36</f>
        <v>512</v>
      </c>
      <c r="L36" t="str">
        <f>IF(AND(H36&gt;=4,I36&gt;=4,J36&gt;=4),"Champion",IF(AND(H36&gt;=3,I36&gt;=3,J36&gt;=3),"Loyal",IF(AND(H36&gt;=4,I36&lt;=2),"At Risk","Churn Risk")))</f>
        <v>At Risk</v>
      </c>
      <c r="M36" t="str" cm="1">
        <f t="array" ref="M36">_xlfn.XLOOKUP(1,(Gym_data!$C:$C=$A36)*(Gym_data!$B:$B=$B36),Gym_data!$F:$F)</f>
        <v>Monthly</v>
      </c>
    </row>
    <row r="37" spans="1:13" x14ac:dyDescent="0.3">
      <c r="A37" t="s">
        <v>271</v>
      </c>
      <c r="B37" s="2">
        <f>_xlfn.MAXIFS(Gym_data!$B:$B,Gym_data!$C:$C,$A37)</f>
        <v>45874</v>
      </c>
      <c r="C37" s="2">
        <f>IF(M37="Monthly",B37+30,IF(M37="3 Months",B37+90,
 IF(M37="6 Months",B37+180,
 IF(M37="Yearly",B37+365,"Check Plan"))))</f>
        <v>45964</v>
      </c>
      <c r="D37" t="str">
        <f>IF($O$4&lt;=C37,"Active",IF($O$4-C37&lt;=30,"At Risk","Churn Risk"))</f>
        <v>Active</v>
      </c>
      <c r="E37">
        <f xml:space="preserve"> $O$4 - B37</f>
        <v>26</v>
      </c>
      <c r="F37">
        <f>COUNTIF(Gym_data!C:C, A37)</f>
        <v>1</v>
      </c>
      <c r="G37">
        <f>SUMIF(Gym_data!C:C, A37, Gym_data!E:E)</f>
        <v>2400</v>
      </c>
      <c r="H37">
        <f>IF(E37&lt;=30,5,IF(E37&lt;=60,4,IF(E37&lt;=90,3,IF(E37&lt;=120,2,1))))</f>
        <v>5</v>
      </c>
      <c r="I37">
        <f>IF(F37&gt;=5,5, IF(F37&gt;=4,4,IF(F37&gt;=3,3,IF(F37&gt;=2,2,1))))</f>
        <v>1</v>
      </c>
      <c r="J37">
        <f>IF(G37&gt;=5000,5,IF(G37&gt;=4000,4,IF(G37&gt;=3000,3,IF(G37&gt;=2000,2,1))))</f>
        <v>2</v>
      </c>
      <c r="K37" t="str">
        <f>H37&amp;I37&amp;J37</f>
        <v>512</v>
      </c>
      <c r="L37" t="str">
        <f>IF(AND(H37&gt;=4,I37&gt;=4,J37&gt;=4),"Champion",IF(AND(H37&gt;=3,I37&gt;=3,J37&gt;=3),"Loyal",IF(AND(H37&gt;=4,I37&lt;=2),"At Risk","Churn Risk")))</f>
        <v>At Risk</v>
      </c>
      <c r="M37" t="str" cm="1">
        <f t="array" ref="M37">_xlfn.XLOOKUP(1,(Gym_data!$C:$C=$A37)*(Gym_data!$B:$B=$B37),Gym_data!$F:$F)</f>
        <v>3 Months</v>
      </c>
    </row>
    <row r="38" spans="1:13" x14ac:dyDescent="0.3">
      <c r="A38" t="s">
        <v>319</v>
      </c>
      <c r="B38" s="2">
        <f>_xlfn.MAXIFS(Gym_data!$B:$B,Gym_data!$C:$C,$A38)</f>
        <v>45874</v>
      </c>
      <c r="C38" s="2">
        <f>IF(M38="Monthly",B38+30,IF(M38="3 Months",B38+90,
 IF(M38="6 Months",B38+180,
 IF(M38="Yearly",B38+365,"Check Plan"))))</f>
        <v>45904</v>
      </c>
      <c r="D38" t="str">
        <f>IF($O$4&lt;=C38,"Active",IF($O$4-C38&lt;=30,"At Risk","Churn Risk"))</f>
        <v>Active</v>
      </c>
      <c r="E38">
        <f xml:space="preserve"> $O$4 - B38</f>
        <v>26</v>
      </c>
      <c r="F38">
        <f>COUNTIF(Gym_data!C:C, A38)</f>
        <v>1</v>
      </c>
      <c r="G38">
        <f>SUMIF(Gym_data!C:C, A38, Gym_data!E:E)</f>
        <v>2000</v>
      </c>
      <c r="H38">
        <f>IF(E38&lt;=30,5,IF(E38&lt;=60,4,IF(E38&lt;=90,3,IF(E38&lt;=120,2,1))))</f>
        <v>5</v>
      </c>
      <c r="I38">
        <f>IF(F38&gt;=5,5, IF(F38&gt;=4,4,IF(F38&gt;=3,3,IF(F38&gt;=2,2,1))))</f>
        <v>1</v>
      </c>
      <c r="J38">
        <f>IF(G38&gt;=5000,5,IF(G38&gt;=4000,4,IF(G38&gt;=3000,3,IF(G38&gt;=2000,2,1))))</f>
        <v>2</v>
      </c>
      <c r="K38" t="str">
        <f>H38&amp;I38&amp;J38</f>
        <v>512</v>
      </c>
      <c r="L38" t="str">
        <f>IF(AND(H38&gt;=4,I38&gt;=4,J38&gt;=4),"Champion",IF(AND(H38&gt;=3,I38&gt;=3,J38&gt;=3),"Loyal",IF(AND(H38&gt;=4,I38&lt;=2),"At Risk","Churn Risk")))</f>
        <v>At Risk</v>
      </c>
      <c r="M38" t="str" cm="1">
        <f t="array" ref="M38">_xlfn.XLOOKUP(1,(Gym_data!$C:$C=$A38)*(Gym_data!$B:$B=$B38),Gym_data!$F:$F)</f>
        <v>Monthly</v>
      </c>
    </row>
    <row r="39" spans="1:13" x14ac:dyDescent="0.3">
      <c r="A39" t="s">
        <v>345</v>
      </c>
      <c r="B39" s="2">
        <f>_xlfn.MAXIFS(Gym_data!$B:$B,Gym_data!$C:$C,$A39)</f>
        <v>45888</v>
      </c>
      <c r="C39" s="2">
        <f>IF(M39="Monthly",B39+30,IF(M39="3 Months",B39+90,
 IF(M39="6 Months",B39+180,
 IF(M39="Yearly",B39+365,"Check Plan"))))</f>
        <v>45978</v>
      </c>
      <c r="D39" t="str">
        <f>IF($O$4&lt;=C39,"Active",IF($O$4-C39&lt;=30,"At Risk","Churn Risk"))</f>
        <v>Active</v>
      </c>
      <c r="E39">
        <f xml:space="preserve"> $O$4 - B39</f>
        <v>12</v>
      </c>
      <c r="F39">
        <f>COUNTIF(Gym_data!C:C, A39)</f>
        <v>1</v>
      </c>
      <c r="G39">
        <f>SUMIF(Gym_data!C:C, A39, Gym_data!E:E)</f>
        <v>2400</v>
      </c>
      <c r="H39">
        <f>IF(E39&lt;=30,5,IF(E39&lt;=60,4,IF(E39&lt;=90,3,IF(E39&lt;=120,2,1))))</f>
        <v>5</v>
      </c>
      <c r="I39">
        <f>IF(F39&gt;=5,5, IF(F39&gt;=4,4,IF(F39&gt;=3,3,IF(F39&gt;=2,2,1))))</f>
        <v>1</v>
      </c>
      <c r="J39">
        <f>IF(G39&gt;=5000,5,IF(G39&gt;=4000,4,IF(G39&gt;=3000,3,IF(G39&gt;=2000,2,1))))</f>
        <v>2</v>
      </c>
      <c r="K39" t="str">
        <f>H39&amp;I39&amp;J39</f>
        <v>512</v>
      </c>
      <c r="L39" t="str">
        <f>IF(AND(H39&gt;=4,I39&gt;=4,J39&gt;=4),"Champion",IF(AND(H39&gt;=3,I39&gt;=3,J39&gt;=3),"Loyal",IF(AND(H39&gt;=4,I39&lt;=2),"At Risk","Churn Risk")))</f>
        <v>At Risk</v>
      </c>
      <c r="M39" t="str" cm="1">
        <f t="array" ref="M39">_xlfn.XLOOKUP(1,(Gym_data!$C:$C=$A39)*(Gym_data!$B:$B=$B39),Gym_data!$F:$F)</f>
        <v>3 Months</v>
      </c>
    </row>
    <row r="40" spans="1:13" x14ac:dyDescent="0.3">
      <c r="A40" t="s">
        <v>397</v>
      </c>
      <c r="B40" s="2">
        <f>_xlfn.MAXIFS(Gym_data!$B:$B,Gym_data!$C:$C,$A40)</f>
        <v>45874</v>
      </c>
      <c r="C40" s="2">
        <f>IF(M40="Monthly",B40+30,IF(M40="3 Months",B40+90,
 IF(M40="6 Months",B40+180,
 IF(M40="Yearly",B40+365,"Check Plan"))))</f>
        <v>45964</v>
      </c>
      <c r="D40" t="str">
        <f>IF($O$4&lt;=C40,"Active",IF($O$4-C40&lt;=30,"At Risk","Churn Risk"))</f>
        <v>Active</v>
      </c>
      <c r="E40">
        <f xml:space="preserve"> $O$4 - B40</f>
        <v>26</v>
      </c>
      <c r="F40">
        <f>COUNTIF(Gym_data!C:C, A40)</f>
        <v>1</v>
      </c>
      <c r="G40">
        <f>SUMIF(Gym_data!C:C, A40, Gym_data!E:E)</f>
        <v>2400</v>
      </c>
      <c r="H40">
        <f>IF(E40&lt;=30,5,IF(E40&lt;=60,4,IF(E40&lt;=90,3,IF(E40&lt;=120,2,1))))</f>
        <v>5</v>
      </c>
      <c r="I40">
        <f>IF(F40&gt;=5,5, IF(F40&gt;=4,4,IF(F40&gt;=3,3,IF(F40&gt;=2,2,1))))</f>
        <v>1</v>
      </c>
      <c r="J40">
        <f>IF(G40&gt;=5000,5,IF(G40&gt;=4000,4,IF(G40&gt;=3000,3,IF(G40&gt;=2000,2,1))))</f>
        <v>2</v>
      </c>
      <c r="K40" t="str">
        <f>H40&amp;I40&amp;J40</f>
        <v>512</v>
      </c>
      <c r="L40" t="str">
        <f>IF(AND(H40&gt;=4,I40&gt;=4,J40&gt;=4),"Champion",IF(AND(H40&gt;=3,I40&gt;=3,J40&gt;=3),"Loyal",IF(AND(H40&gt;=4,I40&lt;=2),"At Risk","Churn Risk")))</f>
        <v>At Risk</v>
      </c>
      <c r="M40" t="str" cm="1">
        <f t="array" ref="M40">_xlfn.XLOOKUP(1,(Gym_data!$C:$C=$A40)*(Gym_data!$B:$B=$B40),Gym_data!$F:$F)</f>
        <v>3 Months</v>
      </c>
    </row>
    <row r="41" spans="1:13" x14ac:dyDescent="0.3">
      <c r="A41" t="s">
        <v>216</v>
      </c>
      <c r="B41" s="2">
        <f>_xlfn.MAXIFS(Gym_data!$B:$B,Gym_data!$C:$C,$A41)</f>
        <v>45875</v>
      </c>
      <c r="C41" s="2">
        <f>IF(M41="Monthly",B41+30,IF(M41="3 Months",B41+90,
 IF(M41="6 Months",B41+180,
 IF(M41="Yearly",B41+365,"Check Plan"))))</f>
        <v>45905</v>
      </c>
      <c r="D41" t="str">
        <f>IF($O$4&lt;=C41,"Active",IF($O$4-C41&lt;=30,"At Risk","Churn Risk"))</f>
        <v>Active</v>
      </c>
      <c r="E41">
        <f xml:space="preserve"> $O$4 - B41</f>
        <v>25</v>
      </c>
      <c r="F41">
        <f>COUNTIF(Gym_data!C:C, A41)</f>
        <v>1</v>
      </c>
      <c r="G41">
        <f>SUMIF(Gym_data!C:C, A41, Gym_data!E:E)</f>
        <v>1000</v>
      </c>
      <c r="H41">
        <f>IF(E41&lt;=30,5,IF(E41&lt;=60,4,IF(E41&lt;=90,3,IF(E41&lt;=120,2,1))))</f>
        <v>5</v>
      </c>
      <c r="I41">
        <f>IF(F41&gt;=5,5, IF(F41&gt;=4,4,IF(F41&gt;=3,3,IF(F41&gt;=2,2,1))))</f>
        <v>1</v>
      </c>
      <c r="J41">
        <f>IF(G41&gt;=5000,5,IF(G41&gt;=4000,4,IF(G41&gt;=3000,3,IF(G41&gt;=2000,2,1))))</f>
        <v>1</v>
      </c>
      <c r="K41" t="str">
        <f>H41&amp;I41&amp;J41</f>
        <v>511</v>
      </c>
      <c r="L41" t="str">
        <f>IF(AND(H41&gt;=4,I41&gt;=4,J41&gt;=4),"Champion",IF(AND(H41&gt;=3,I41&gt;=3,J41&gt;=3),"Loyal",IF(AND(H41&gt;=4,I41&lt;=2),"At Risk","Churn Risk")))</f>
        <v>At Risk</v>
      </c>
      <c r="M41" t="str" cm="1">
        <f t="array" ref="M41">_xlfn.XLOOKUP(1,(Gym_data!$C:$C=$A41)*(Gym_data!$B:$B=$B41),Gym_data!$F:$F)</f>
        <v>Monthly</v>
      </c>
    </row>
    <row r="42" spans="1:13" x14ac:dyDescent="0.3">
      <c r="A42" t="s">
        <v>218</v>
      </c>
      <c r="B42" s="2">
        <f>_xlfn.MAXIFS(Gym_data!$B:$B,Gym_data!$C:$C,$A42)</f>
        <v>45874</v>
      </c>
      <c r="C42" s="2">
        <f>IF(M42="Monthly",B42+30,IF(M42="3 Months",B42+90,
 IF(M42="6 Months",B42+180,
 IF(M42="Yearly",B42+365,"Check Plan"))))</f>
        <v>45904</v>
      </c>
      <c r="D42" t="str">
        <f>IF($O$4&lt;=C42,"Active",IF($O$4-C42&lt;=30,"At Risk","Churn Risk"))</f>
        <v>Active</v>
      </c>
      <c r="E42">
        <f xml:space="preserve"> $O$4 - B42</f>
        <v>26</v>
      </c>
      <c r="F42">
        <f>COUNTIF(Gym_data!C:C, A42)</f>
        <v>1</v>
      </c>
      <c r="G42">
        <f>SUMIF(Gym_data!C:C, A42, Gym_data!E:E)</f>
        <v>1000</v>
      </c>
      <c r="H42">
        <f>IF(E42&lt;=30,5,IF(E42&lt;=60,4,IF(E42&lt;=90,3,IF(E42&lt;=120,2,1))))</f>
        <v>5</v>
      </c>
      <c r="I42">
        <f>IF(F42&gt;=5,5, IF(F42&gt;=4,4,IF(F42&gt;=3,3,IF(F42&gt;=2,2,1))))</f>
        <v>1</v>
      </c>
      <c r="J42">
        <f>IF(G42&gt;=5000,5,IF(G42&gt;=4000,4,IF(G42&gt;=3000,3,IF(G42&gt;=2000,2,1))))</f>
        <v>1</v>
      </c>
      <c r="K42" t="str">
        <f>H42&amp;I42&amp;J42</f>
        <v>511</v>
      </c>
      <c r="L42" t="str">
        <f>IF(AND(H42&gt;=4,I42&gt;=4,J42&gt;=4),"Champion",IF(AND(H42&gt;=3,I42&gt;=3,J42&gt;=3),"Loyal",IF(AND(H42&gt;=4,I42&lt;=2),"At Risk","Churn Risk")))</f>
        <v>At Risk</v>
      </c>
      <c r="M42" t="str" cm="1">
        <f t="array" ref="M42">_xlfn.XLOOKUP(1,(Gym_data!$C:$C=$A42)*(Gym_data!$B:$B=$B42),Gym_data!$F:$F)</f>
        <v>Monthly</v>
      </c>
    </row>
    <row r="43" spans="1:13" x14ac:dyDescent="0.3">
      <c r="A43" t="s">
        <v>221</v>
      </c>
      <c r="B43" s="2">
        <f>_xlfn.MAXIFS(Gym_data!$B:$B,Gym_data!$C:$C,$A43)</f>
        <v>45875</v>
      </c>
      <c r="C43" s="2">
        <f>IF(M43="Monthly",B43+30,IF(M43="3 Months",B43+90,
 IF(M43="6 Months",B43+180,
 IF(M43="Yearly",B43+365,"Check Plan"))))</f>
        <v>45905</v>
      </c>
      <c r="D43" t="str">
        <f>IF($O$4&lt;=C43,"Active",IF($O$4-C43&lt;=30,"At Risk","Churn Risk"))</f>
        <v>Active</v>
      </c>
      <c r="E43">
        <f xml:space="preserve"> $O$4 - B43</f>
        <v>25</v>
      </c>
      <c r="F43">
        <f>COUNTIF(Gym_data!C:C, A43)</f>
        <v>1</v>
      </c>
      <c r="G43">
        <f>SUMIF(Gym_data!C:C, A43, Gym_data!E:E)</f>
        <v>1000</v>
      </c>
      <c r="H43">
        <f>IF(E43&lt;=30,5,IF(E43&lt;=60,4,IF(E43&lt;=90,3,IF(E43&lt;=120,2,1))))</f>
        <v>5</v>
      </c>
      <c r="I43">
        <f>IF(F43&gt;=5,5, IF(F43&gt;=4,4,IF(F43&gt;=3,3,IF(F43&gt;=2,2,1))))</f>
        <v>1</v>
      </c>
      <c r="J43">
        <f>IF(G43&gt;=5000,5,IF(G43&gt;=4000,4,IF(G43&gt;=3000,3,IF(G43&gt;=2000,2,1))))</f>
        <v>1</v>
      </c>
      <c r="K43" t="str">
        <f>H43&amp;I43&amp;J43</f>
        <v>511</v>
      </c>
      <c r="L43" t="str">
        <f>IF(AND(H43&gt;=4,I43&gt;=4,J43&gt;=4),"Champion",IF(AND(H43&gt;=3,I43&gt;=3,J43&gt;=3),"Loyal",IF(AND(H43&gt;=4,I43&lt;=2),"At Risk","Churn Risk")))</f>
        <v>At Risk</v>
      </c>
      <c r="M43" t="str" cm="1">
        <f t="array" ref="M43">_xlfn.XLOOKUP(1,(Gym_data!$C:$C=$A43)*(Gym_data!$B:$B=$B43),Gym_data!$F:$F)</f>
        <v>Monthly</v>
      </c>
    </row>
    <row r="44" spans="1:13" x14ac:dyDescent="0.3">
      <c r="A44" t="s">
        <v>243</v>
      </c>
      <c r="B44" s="2">
        <f>_xlfn.MAXIFS(Gym_data!$B:$B,Gym_data!$C:$C,$A44)</f>
        <v>45874</v>
      </c>
      <c r="C44" s="2">
        <f>IF(M44="Monthly",B44+30,IF(M44="3 Months",B44+90,
 IF(M44="6 Months",B44+180,
 IF(M44="Yearly",B44+365,"Check Plan"))))</f>
        <v>45904</v>
      </c>
      <c r="D44" t="str">
        <f>IF($O$4&lt;=C44,"Active",IF($O$4-C44&lt;=30,"At Risk","Churn Risk"))</f>
        <v>Active</v>
      </c>
      <c r="E44">
        <f xml:space="preserve"> $O$4 - B44</f>
        <v>26</v>
      </c>
      <c r="F44">
        <f>COUNTIF(Gym_data!C:C, A44)</f>
        <v>1</v>
      </c>
      <c r="G44">
        <f>SUMIF(Gym_data!C:C, A44, Gym_data!E:E)</f>
        <v>1000</v>
      </c>
      <c r="H44">
        <f>IF(E44&lt;=30,5,IF(E44&lt;=60,4,IF(E44&lt;=90,3,IF(E44&lt;=120,2,1))))</f>
        <v>5</v>
      </c>
      <c r="I44">
        <f>IF(F44&gt;=5,5, IF(F44&gt;=4,4,IF(F44&gt;=3,3,IF(F44&gt;=2,2,1))))</f>
        <v>1</v>
      </c>
      <c r="J44">
        <f>IF(G44&gt;=5000,5,IF(G44&gt;=4000,4,IF(G44&gt;=3000,3,IF(G44&gt;=2000,2,1))))</f>
        <v>1</v>
      </c>
      <c r="K44" t="str">
        <f>H44&amp;I44&amp;J44</f>
        <v>511</v>
      </c>
      <c r="L44" t="str">
        <f>IF(AND(H44&gt;=4,I44&gt;=4,J44&gt;=4),"Champion",IF(AND(H44&gt;=3,I44&gt;=3,J44&gt;=3),"Loyal",IF(AND(H44&gt;=4,I44&lt;=2),"At Risk","Churn Risk")))</f>
        <v>At Risk</v>
      </c>
      <c r="M44" t="str" cm="1">
        <f t="array" ref="M44">_xlfn.XLOOKUP(1,(Gym_data!$C:$C=$A44)*(Gym_data!$B:$B=$B44),Gym_data!$F:$F)</f>
        <v>Monthly</v>
      </c>
    </row>
    <row r="45" spans="1:13" x14ac:dyDescent="0.3">
      <c r="A45" t="s">
        <v>250</v>
      </c>
      <c r="B45" s="2">
        <f>_xlfn.MAXIFS(Gym_data!$B:$B,Gym_data!$C:$C,$A45)</f>
        <v>45874</v>
      </c>
      <c r="C45" s="2">
        <f>IF(M45="Monthly",B45+30,IF(M45="3 Months",B45+90,
 IF(M45="6 Months",B45+180,
 IF(M45="Yearly",B45+365,"Check Plan"))))</f>
        <v>45904</v>
      </c>
      <c r="D45" t="str">
        <f>IF($O$4&lt;=C45,"Active",IF($O$4-C45&lt;=30,"At Risk","Churn Risk"))</f>
        <v>Active</v>
      </c>
      <c r="E45">
        <f xml:space="preserve"> $O$4 - B45</f>
        <v>26</v>
      </c>
      <c r="F45">
        <f>COUNTIF(Gym_data!C:C, A45)</f>
        <v>1</v>
      </c>
      <c r="G45">
        <f>SUMIF(Gym_data!C:C, A45, Gym_data!E:E)</f>
        <v>1000</v>
      </c>
      <c r="H45">
        <f>IF(E45&lt;=30,5,IF(E45&lt;=60,4,IF(E45&lt;=90,3,IF(E45&lt;=120,2,1))))</f>
        <v>5</v>
      </c>
      <c r="I45">
        <f>IF(F45&gt;=5,5, IF(F45&gt;=4,4,IF(F45&gt;=3,3,IF(F45&gt;=2,2,1))))</f>
        <v>1</v>
      </c>
      <c r="J45">
        <f>IF(G45&gt;=5000,5,IF(G45&gt;=4000,4,IF(G45&gt;=3000,3,IF(G45&gt;=2000,2,1))))</f>
        <v>1</v>
      </c>
      <c r="K45" t="str">
        <f>H45&amp;I45&amp;J45</f>
        <v>511</v>
      </c>
      <c r="L45" t="str">
        <f>IF(AND(H45&gt;=4,I45&gt;=4,J45&gt;=4),"Champion",IF(AND(H45&gt;=3,I45&gt;=3,J45&gt;=3),"Loyal",IF(AND(H45&gt;=4,I45&lt;=2),"At Risk","Churn Risk")))</f>
        <v>At Risk</v>
      </c>
      <c r="M45" t="str" cm="1">
        <f t="array" ref="M45">_xlfn.XLOOKUP(1,(Gym_data!$C:$C=$A45)*(Gym_data!$B:$B=$B45),Gym_data!$F:$F)</f>
        <v>Monthly</v>
      </c>
    </row>
    <row r="46" spans="1:13" x14ac:dyDescent="0.3">
      <c r="A46" t="s">
        <v>282</v>
      </c>
      <c r="B46" s="2">
        <f>_xlfn.MAXIFS(Gym_data!$B:$B,Gym_data!$C:$C,$A46)</f>
        <v>45874</v>
      </c>
      <c r="C46" s="2">
        <f>IF(M46="Monthly",B46+30,IF(M46="3 Months",B46+90,
 IF(M46="6 Months",B46+180,
 IF(M46="Yearly",B46+365,"Check Plan"))))</f>
        <v>45904</v>
      </c>
      <c r="D46" t="str">
        <f>IF($O$4&lt;=C46,"Active",IF($O$4-C46&lt;=30,"At Risk","Churn Risk"))</f>
        <v>Active</v>
      </c>
      <c r="E46">
        <f xml:space="preserve"> $O$4 - B46</f>
        <v>26</v>
      </c>
      <c r="F46">
        <f>COUNTIF(Gym_data!C:C, A46)</f>
        <v>1</v>
      </c>
      <c r="G46">
        <f>SUMIF(Gym_data!C:C, A46, Gym_data!E:E)</f>
        <v>1000</v>
      </c>
      <c r="H46">
        <f>IF(E46&lt;=30,5,IF(E46&lt;=60,4,IF(E46&lt;=90,3,IF(E46&lt;=120,2,1))))</f>
        <v>5</v>
      </c>
      <c r="I46">
        <f>IF(F46&gt;=5,5, IF(F46&gt;=4,4,IF(F46&gt;=3,3,IF(F46&gt;=2,2,1))))</f>
        <v>1</v>
      </c>
      <c r="J46">
        <f>IF(G46&gt;=5000,5,IF(G46&gt;=4000,4,IF(G46&gt;=3000,3,IF(G46&gt;=2000,2,1))))</f>
        <v>1</v>
      </c>
      <c r="K46" t="str">
        <f>H46&amp;I46&amp;J46</f>
        <v>511</v>
      </c>
      <c r="L46" t="str">
        <f>IF(AND(H46&gt;=4,I46&gt;=4,J46&gt;=4),"Champion",IF(AND(H46&gt;=3,I46&gt;=3,J46&gt;=3),"Loyal",IF(AND(H46&gt;=4,I46&lt;=2),"At Risk","Churn Risk")))</f>
        <v>At Risk</v>
      </c>
      <c r="M46" t="str" cm="1">
        <f t="array" ref="M46">_xlfn.XLOOKUP(1,(Gym_data!$C:$C=$A46)*(Gym_data!$B:$B=$B46),Gym_data!$F:$F)</f>
        <v>Monthly</v>
      </c>
    </row>
    <row r="47" spans="1:13" x14ac:dyDescent="0.3">
      <c r="A47" t="s">
        <v>296</v>
      </c>
      <c r="B47" s="2">
        <f>_xlfn.MAXIFS(Gym_data!$B:$B,Gym_data!$C:$C,$A47)</f>
        <v>45875</v>
      </c>
      <c r="C47" s="2">
        <f>IF(M47="Monthly",B47+30,IF(M47="3 Months",B47+90,
 IF(M47="6 Months",B47+180,
 IF(M47="Yearly",B47+365,"Check Plan"))))</f>
        <v>45905</v>
      </c>
      <c r="D47" t="str">
        <f>IF($O$4&lt;=C47,"Active",IF($O$4-C47&lt;=30,"At Risk","Churn Risk"))</f>
        <v>Active</v>
      </c>
      <c r="E47">
        <f xml:space="preserve"> $O$4 - B47</f>
        <v>25</v>
      </c>
      <c r="F47">
        <f>COUNTIF(Gym_data!C:C, A47)</f>
        <v>1</v>
      </c>
      <c r="G47">
        <f>SUMIF(Gym_data!C:C, A47, Gym_data!E:E)</f>
        <v>1000</v>
      </c>
      <c r="H47">
        <f>IF(E47&lt;=30,5,IF(E47&lt;=60,4,IF(E47&lt;=90,3,IF(E47&lt;=120,2,1))))</f>
        <v>5</v>
      </c>
      <c r="I47">
        <f>IF(F47&gt;=5,5, IF(F47&gt;=4,4,IF(F47&gt;=3,3,IF(F47&gt;=2,2,1))))</f>
        <v>1</v>
      </c>
      <c r="J47">
        <f>IF(G47&gt;=5000,5,IF(G47&gt;=4000,4,IF(G47&gt;=3000,3,IF(G47&gt;=2000,2,1))))</f>
        <v>1</v>
      </c>
      <c r="K47" t="str">
        <f>H47&amp;I47&amp;J47</f>
        <v>511</v>
      </c>
      <c r="L47" t="str">
        <f>IF(AND(H47&gt;=4,I47&gt;=4,J47&gt;=4),"Champion",IF(AND(H47&gt;=3,I47&gt;=3,J47&gt;=3),"Loyal",IF(AND(H47&gt;=4,I47&lt;=2),"At Risk","Churn Risk")))</f>
        <v>At Risk</v>
      </c>
      <c r="M47" t="str" cm="1">
        <f t="array" ref="M47">_xlfn.XLOOKUP(1,(Gym_data!$C:$C=$A47)*(Gym_data!$B:$B=$B47),Gym_data!$F:$F)</f>
        <v>Monthly</v>
      </c>
    </row>
    <row r="48" spans="1:13" x14ac:dyDescent="0.3">
      <c r="A48" t="s">
        <v>313</v>
      </c>
      <c r="B48" s="2">
        <f>_xlfn.MAXIFS(Gym_data!$B:$B,Gym_data!$C:$C,$A48)</f>
        <v>45875</v>
      </c>
      <c r="C48" s="2">
        <f>IF(M48="Monthly",B48+30,IF(M48="3 Months",B48+90,
 IF(M48="6 Months",B48+180,
 IF(M48="Yearly",B48+365,"Check Plan"))))</f>
        <v>45905</v>
      </c>
      <c r="D48" t="str">
        <f>IF($O$4&lt;=C48,"Active",IF($O$4-C48&lt;=30,"At Risk","Churn Risk"))</f>
        <v>Active</v>
      </c>
      <c r="E48">
        <f xml:space="preserve"> $O$4 - B48</f>
        <v>25</v>
      </c>
      <c r="F48">
        <f>COUNTIF(Gym_data!C:C, A48)</f>
        <v>1</v>
      </c>
      <c r="G48">
        <f>SUMIF(Gym_data!C:C, A48, Gym_data!E:E)</f>
        <v>1000</v>
      </c>
      <c r="H48">
        <f>IF(E48&lt;=30,5,IF(E48&lt;=60,4,IF(E48&lt;=90,3,IF(E48&lt;=120,2,1))))</f>
        <v>5</v>
      </c>
      <c r="I48">
        <f>IF(F48&gt;=5,5, IF(F48&gt;=4,4,IF(F48&gt;=3,3,IF(F48&gt;=2,2,1))))</f>
        <v>1</v>
      </c>
      <c r="J48">
        <f>IF(G48&gt;=5000,5,IF(G48&gt;=4000,4,IF(G48&gt;=3000,3,IF(G48&gt;=2000,2,1))))</f>
        <v>1</v>
      </c>
      <c r="K48" t="str">
        <f>H48&amp;I48&amp;J48</f>
        <v>511</v>
      </c>
      <c r="L48" t="str">
        <f>IF(AND(H48&gt;=4,I48&gt;=4,J48&gt;=4),"Champion",IF(AND(H48&gt;=3,I48&gt;=3,J48&gt;=3),"Loyal",IF(AND(H48&gt;=4,I48&lt;=2),"At Risk","Churn Risk")))</f>
        <v>At Risk</v>
      </c>
      <c r="M48" t="str" cm="1">
        <f t="array" ref="M48">_xlfn.XLOOKUP(1,(Gym_data!$C:$C=$A48)*(Gym_data!$B:$B=$B48),Gym_data!$F:$F)</f>
        <v>Monthly</v>
      </c>
    </row>
    <row r="49" spans="1:13" x14ac:dyDescent="0.3">
      <c r="A49" t="s">
        <v>322</v>
      </c>
      <c r="B49" s="2">
        <f>_xlfn.MAXIFS(Gym_data!$B:$B,Gym_data!$C:$C,$A49)</f>
        <v>45874</v>
      </c>
      <c r="C49" s="2">
        <f>IF(M49="Monthly",B49+30,IF(M49="3 Months",B49+90,
 IF(M49="6 Months",B49+180,
 IF(M49="Yearly",B49+365,"Check Plan"))))</f>
        <v>45904</v>
      </c>
      <c r="D49" t="str">
        <f>IF($O$4&lt;=C49,"Active",IF($O$4-C49&lt;=30,"At Risk","Churn Risk"))</f>
        <v>Active</v>
      </c>
      <c r="E49">
        <f xml:space="preserve"> $O$4 - B49</f>
        <v>26</v>
      </c>
      <c r="F49">
        <f>COUNTIF(Gym_data!C:C, A49)</f>
        <v>1</v>
      </c>
      <c r="G49">
        <f>SUMIF(Gym_data!C:C, A49, Gym_data!E:E)</f>
        <v>500</v>
      </c>
      <c r="H49">
        <f>IF(E49&lt;=30,5,IF(E49&lt;=60,4,IF(E49&lt;=90,3,IF(E49&lt;=120,2,1))))</f>
        <v>5</v>
      </c>
      <c r="I49">
        <f>IF(F49&gt;=5,5, IF(F49&gt;=4,4,IF(F49&gt;=3,3,IF(F49&gt;=2,2,1))))</f>
        <v>1</v>
      </c>
      <c r="J49">
        <f>IF(G49&gt;=5000,5,IF(G49&gt;=4000,4,IF(G49&gt;=3000,3,IF(G49&gt;=2000,2,1))))</f>
        <v>1</v>
      </c>
      <c r="K49" t="str">
        <f>H49&amp;I49&amp;J49</f>
        <v>511</v>
      </c>
      <c r="L49" t="str">
        <f>IF(AND(H49&gt;=4,I49&gt;=4,J49&gt;=4),"Champion",IF(AND(H49&gt;=3,I49&gt;=3,J49&gt;=3),"Loyal",IF(AND(H49&gt;=4,I49&lt;=2),"At Risk","Churn Risk")))</f>
        <v>At Risk</v>
      </c>
      <c r="M49" t="str" cm="1">
        <f t="array" ref="M49">_xlfn.XLOOKUP(1,(Gym_data!$C:$C=$A49)*(Gym_data!$B:$B=$B49),Gym_data!$F:$F)</f>
        <v>Monthly</v>
      </c>
    </row>
    <row r="50" spans="1:13" x14ac:dyDescent="0.3">
      <c r="A50" t="s">
        <v>328</v>
      </c>
      <c r="B50" s="2">
        <f>_xlfn.MAXIFS(Gym_data!$B:$B,Gym_data!$C:$C,$A50)</f>
        <v>45881</v>
      </c>
      <c r="C50" s="2">
        <f>IF(M50="Monthly",B50+30,IF(M50="3 Months",B50+90,
 IF(M50="6 Months",B50+180,
 IF(M50="Yearly",B50+365,"Check Plan"))))</f>
        <v>45911</v>
      </c>
      <c r="D50" t="str">
        <f>IF($O$4&lt;=C50,"Active",IF($O$4-C50&lt;=30,"At Risk","Churn Risk"))</f>
        <v>Active</v>
      </c>
      <c r="E50">
        <f xml:space="preserve"> $O$4 - B50</f>
        <v>19</v>
      </c>
      <c r="F50">
        <f>COUNTIF(Gym_data!C:C, A50)</f>
        <v>1</v>
      </c>
      <c r="G50">
        <f>SUMIF(Gym_data!C:C, A50, Gym_data!E:E)</f>
        <v>1000</v>
      </c>
      <c r="H50">
        <f>IF(E50&lt;=30,5,IF(E50&lt;=60,4,IF(E50&lt;=90,3,IF(E50&lt;=120,2,1))))</f>
        <v>5</v>
      </c>
      <c r="I50">
        <f>IF(F50&gt;=5,5, IF(F50&gt;=4,4,IF(F50&gt;=3,3,IF(F50&gt;=2,2,1))))</f>
        <v>1</v>
      </c>
      <c r="J50">
        <f>IF(G50&gt;=5000,5,IF(G50&gt;=4000,4,IF(G50&gt;=3000,3,IF(G50&gt;=2000,2,1))))</f>
        <v>1</v>
      </c>
      <c r="K50" t="str">
        <f>H50&amp;I50&amp;J50</f>
        <v>511</v>
      </c>
      <c r="L50" t="str">
        <f>IF(AND(H50&gt;=4,I50&gt;=4,J50&gt;=4),"Champion",IF(AND(H50&gt;=3,I50&gt;=3,J50&gt;=3),"Loyal",IF(AND(H50&gt;=4,I50&lt;=2),"At Risk","Churn Risk")))</f>
        <v>At Risk</v>
      </c>
      <c r="M50" t="str" cm="1">
        <f t="array" ref="M50">_xlfn.XLOOKUP(1,(Gym_data!$C:$C=$A50)*(Gym_data!$B:$B=$B50),Gym_data!$F:$F)</f>
        <v>Monthly</v>
      </c>
    </row>
    <row r="51" spans="1:13" x14ac:dyDescent="0.3">
      <c r="A51" t="s">
        <v>331</v>
      </c>
      <c r="B51" s="2">
        <f>_xlfn.MAXIFS(Gym_data!$B:$B,Gym_data!$C:$C,$A51)</f>
        <v>45873</v>
      </c>
      <c r="C51" s="2">
        <f>IF(M51="Monthly",B51+30,IF(M51="3 Months",B51+90,
 IF(M51="6 Months",B51+180,
 IF(M51="Yearly",B51+365,"Check Plan"))))</f>
        <v>45903</v>
      </c>
      <c r="D51" t="str">
        <f>IF($O$4&lt;=C51,"Active",IF($O$4-C51&lt;=30,"At Risk","Churn Risk"))</f>
        <v>Active</v>
      </c>
      <c r="E51">
        <f xml:space="preserve"> $O$4 - B51</f>
        <v>27</v>
      </c>
      <c r="F51">
        <f>COUNTIF(Gym_data!C:C, A51)</f>
        <v>1</v>
      </c>
      <c r="G51">
        <f>SUMIF(Gym_data!C:C, A51, Gym_data!E:E)</f>
        <v>1000</v>
      </c>
      <c r="H51">
        <f>IF(E51&lt;=30,5,IF(E51&lt;=60,4,IF(E51&lt;=90,3,IF(E51&lt;=120,2,1))))</f>
        <v>5</v>
      </c>
      <c r="I51">
        <f>IF(F51&gt;=5,5, IF(F51&gt;=4,4,IF(F51&gt;=3,3,IF(F51&gt;=2,2,1))))</f>
        <v>1</v>
      </c>
      <c r="J51">
        <f>IF(G51&gt;=5000,5,IF(G51&gt;=4000,4,IF(G51&gt;=3000,3,IF(G51&gt;=2000,2,1))))</f>
        <v>1</v>
      </c>
      <c r="K51" t="str">
        <f>H51&amp;I51&amp;J51</f>
        <v>511</v>
      </c>
      <c r="L51" t="str">
        <f>IF(AND(H51&gt;=4,I51&gt;=4,J51&gt;=4),"Champion",IF(AND(H51&gt;=3,I51&gt;=3,J51&gt;=3),"Loyal",IF(AND(H51&gt;=4,I51&lt;=2),"At Risk","Churn Risk")))</f>
        <v>At Risk</v>
      </c>
      <c r="M51" t="str" cm="1">
        <f t="array" ref="M51">_xlfn.XLOOKUP(1,(Gym_data!$C:$C=$A51)*(Gym_data!$B:$B=$B51),Gym_data!$F:$F)</f>
        <v>Monthly</v>
      </c>
    </row>
    <row r="52" spans="1:13" x14ac:dyDescent="0.3">
      <c r="A52" t="s">
        <v>340</v>
      </c>
      <c r="B52" s="2">
        <f>_xlfn.MAXIFS(Gym_data!$B:$B,Gym_data!$C:$C,$A52)</f>
        <v>45880</v>
      </c>
      <c r="C52" s="2">
        <f>IF(M52="Monthly",B52+30,IF(M52="3 Months",B52+90,
 IF(M52="6 Months",B52+180,
 IF(M52="Yearly",B52+365,"Check Plan"))))</f>
        <v>45910</v>
      </c>
      <c r="D52" t="str">
        <f>IF($O$4&lt;=C52,"Active",IF($O$4-C52&lt;=30,"At Risk","Churn Risk"))</f>
        <v>Active</v>
      </c>
      <c r="E52">
        <f xml:space="preserve"> $O$4 - B52</f>
        <v>20</v>
      </c>
      <c r="F52">
        <f>COUNTIF(Gym_data!C:C, A52)</f>
        <v>1</v>
      </c>
      <c r="G52">
        <f>SUMIF(Gym_data!C:C, A52, Gym_data!E:E)</f>
        <v>1000</v>
      </c>
      <c r="H52">
        <f>IF(E52&lt;=30,5,IF(E52&lt;=60,4,IF(E52&lt;=90,3,IF(E52&lt;=120,2,1))))</f>
        <v>5</v>
      </c>
      <c r="I52">
        <f>IF(F52&gt;=5,5, IF(F52&gt;=4,4,IF(F52&gt;=3,3,IF(F52&gt;=2,2,1))))</f>
        <v>1</v>
      </c>
      <c r="J52">
        <f>IF(G52&gt;=5000,5,IF(G52&gt;=4000,4,IF(G52&gt;=3000,3,IF(G52&gt;=2000,2,1))))</f>
        <v>1</v>
      </c>
      <c r="K52" t="str">
        <f>H52&amp;I52&amp;J52</f>
        <v>511</v>
      </c>
      <c r="L52" t="str">
        <f>IF(AND(H52&gt;=4,I52&gt;=4,J52&gt;=4),"Champion",IF(AND(H52&gt;=3,I52&gt;=3,J52&gt;=3),"Loyal",IF(AND(H52&gt;=4,I52&lt;=2),"At Risk","Churn Risk")))</f>
        <v>At Risk</v>
      </c>
      <c r="M52" t="str" cm="1">
        <f t="array" ref="M52">_xlfn.XLOOKUP(1,(Gym_data!$C:$C=$A52)*(Gym_data!$B:$B=$B52),Gym_data!$F:$F)</f>
        <v>Monthly</v>
      </c>
    </row>
    <row r="53" spans="1:13" x14ac:dyDescent="0.3">
      <c r="A53" t="s">
        <v>351</v>
      </c>
      <c r="B53" s="2">
        <f>_xlfn.MAXIFS(Gym_data!$B:$B,Gym_data!$C:$C,$A53)</f>
        <v>45880</v>
      </c>
      <c r="C53" s="2">
        <f>IF(M53="Monthly",B53+30,IF(M53="3 Months",B53+90,
 IF(M53="6 Months",B53+180,
 IF(M53="Yearly",B53+365,"Check Plan"))))</f>
        <v>45910</v>
      </c>
      <c r="D53" t="str">
        <f>IF($O$4&lt;=C53,"Active",IF($O$4-C53&lt;=30,"At Risk","Churn Risk"))</f>
        <v>Active</v>
      </c>
      <c r="E53">
        <f xml:space="preserve"> $O$4 - B53</f>
        <v>20</v>
      </c>
      <c r="F53">
        <f>COUNTIF(Gym_data!C:C, A53)</f>
        <v>1</v>
      </c>
      <c r="G53">
        <f>SUMIF(Gym_data!C:C, A53, Gym_data!E:E)</f>
        <v>1000</v>
      </c>
      <c r="H53">
        <f>IF(E53&lt;=30,5,IF(E53&lt;=60,4,IF(E53&lt;=90,3,IF(E53&lt;=120,2,1))))</f>
        <v>5</v>
      </c>
      <c r="I53">
        <f>IF(F53&gt;=5,5, IF(F53&gt;=4,4,IF(F53&gt;=3,3,IF(F53&gt;=2,2,1))))</f>
        <v>1</v>
      </c>
      <c r="J53">
        <f>IF(G53&gt;=5000,5,IF(G53&gt;=4000,4,IF(G53&gt;=3000,3,IF(G53&gt;=2000,2,1))))</f>
        <v>1</v>
      </c>
      <c r="K53" t="str">
        <f>H53&amp;I53&amp;J53</f>
        <v>511</v>
      </c>
      <c r="L53" t="str">
        <f>IF(AND(H53&gt;=4,I53&gt;=4,J53&gt;=4),"Champion",IF(AND(H53&gt;=3,I53&gt;=3,J53&gt;=3),"Loyal",IF(AND(H53&gt;=4,I53&lt;=2),"At Risk","Churn Risk")))</f>
        <v>At Risk</v>
      </c>
      <c r="M53" t="str" cm="1">
        <f t="array" ref="M53">_xlfn.XLOOKUP(1,(Gym_data!$C:$C=$A53)*(Gym_data!$B:$B=$B53),Gym_data!$F:$F)</f>
        <v>Monthly</v>
      </c>
    </row>
    <row r="54" spans="1:13" x14ac:dyDescent="0.3">
      <c r="A54" t="s">
        <v>362</v>
      </c>
      <c r="B54" s="2">
        <f>_xlfn.MAXIFS(Gym_data!$B:$B,Gym_data!$C:$C,$A54)</f>
        <v>45871</v>
      </c>
      <c r="C54" s="2">
        <f>IF(M54="Monthly",B54+30,IF(M54="3 Months",B54+90,
 IF(M54="6 Months",B54+180,
 IF(M54="Yearly",B54+365,"Check Plan"))))</f>
        <v>45901</v>
      </c>
      <c r="D54" t="str">
        <f>IF($O$4&lt;=C54,"Active",IF($O$4-C54&lt;=30,"At Risk","Churn Risk"))</f>
        <v>Active</v>
      </c>
      <c r="E54">
        <f xml:space="preserve"> $O$4 - B54</f>
        <v>29</v>
      </c>
      <c r="F54">
        <f>COUNTIF(Gym_data!C:C, A54)</f>
        <v>1</v>
      </c>
      <c r="G54">
        <f>SUMIF(Gym_data!C:C, A54, Gym_data!E:E)</f>
        <v>1000</v>
      </c>
      <c r="H54">
        <f>IF(E54&lt;=30,5,IF(E54&lt;=60,4,IF(E54&lt;=90,3,IF(E54&lt;=120,2,1))))</f>
        <v>5</v>
      </c>
      <c r="I54">
        <f>IF(F54&gt;=5,5, IF(F54&gt;=4,4,IF(F54&gt;=3,3,IF(F54&gt;=2,2,1))))</f>
        <v>1</v>
      </c>
      <c r="J54">
        <f>IF(G54&gt;=5000,5,IF(G54&gt;=4000,4,IF(G54&gt;=3000,3,IF(G54&gt;=2000,2,1))))</f>
        <v>1</v>
      </c>
      <c r="K54" t="str">
        <f>H54&amp;I54&amp;J54</f>
        <v>511</v>
      </c>
      <c r="L54" t="str">
        <f>IF(AND(H54&gt;=4,I54&gt;=4,J54&gt;=4),"Champion",IF(AND(H54&gt;=3,I54&gt;=3,J54&gt;=3),"Loyal",IF(AND(H54&gt;=4,I54&lt;=2),"At Risk","Churn Risk")))</f>
        <v>At Risk</v>
      </c>
      <c r="M54" t="str" cm="1">
        <f t="array" ref="M54">_xlfn.XLOOKUP(1,(Gym_data!$C:$C=$A54)*(Gym_data!$B:$B=$B54),Gym_data!$F:$F)</f>
        <v>Monthly</v>
      </c>
    </row>
    <row r="55" spans="1:13" x14ac:dyDescent="0.3">
      <c r="A55" t="s">
        <v>369</v>
      </c>
      <c r="B55" s="2">
        <f>_xlfn.MAXIFS(Gym_data!$B:$B,Gym_data!$C:$C,$A55)</f>
        <v>45887</v>
      </c>
      <c r="C55" s="2">
        <f>IF(M55="Monthly",B55+30,IF(M55="3 Months",B55+90,
 IF(M55="6 Months",B55+180,
 IF(M55="Yearly",B55+365,"Check Plan"))))</f>
        <v>45917</v>
      </c>
      <c r="D55" t="str">
        <f>IF($O$4&lt;=C55,"Active",IF($O$4-C55&lt;=30,"At Risk","Churn Risk"))</f>
        <v>Active</v>
      </c>
      <c r="E55">
        <f xml:space="preserve"> $O$4 - B55</f>
        <v>13</v>
      </c>
      <c r="F55">
        <f>COUNTIF(Gym_data!C:C, A55)</f>
        <v>1</v>
      </c>
      <c r="G55">
        <f>SUMIF(Gym_data!C:C, A55, Gym_data!E:E)</f>
        <v>1000</v>
      </c>
      <c r="H55">
        <f>IF(E55&lt;=30,5,IF(E55&lt;=60,4,IF(E55&lt;=90,3,IF(E55&lt;=120,2,1))))</f>
        <v>5</v>
      </c>
      <c r="I55">
        <f>IF(F55&gt;=5,5, IF(F55&gt;=4,4,IF(F55&gt;=3,3,IF(F55&gt;=2,2,1))))</f>
        <v>1</v>
      </c>
      <c r="J55">
        <f>IF(G55&gt;=5000,5,IF(G55&gt;=4000,4,IF(G55&gt;=3000,3,IF(G55&gt;=2000,2,1))))</f>
        <v>1</v>
      </c>
      <c r="K55" t="str">
        <f>H55&amp;I55&amp;J55</f>
        <v>511</v>
      </c>
      <c r="L55" t="str">
        <f>IF(AND(H55&gt;=4,I55&gt;=4,J55&gt;=4),"Champion",IF(AND(H55&gt;=3,I55&gt;=3,J55&gt;=3),"Loyal",IF(AND(H55&gt;=4,I55&lt;=2),"At Risk","Churn Risk")))</f>
        <v>At Risk</v>
      </c>
      <c r="M55" t="str" cm="1">
        <f t="array" ref="M55">_xlfn.XLOOKUP(1,(Gym_data!$C:$C=$A55)*(Gym_data!$B:$B=$B55),Gym_data!$F:$F)</f>
        <v>Monthly</v>
      </c>
    </row>
    <row r="56" spans="1:13" x14ac:dyDescent="0.3">
      <c r="A56" t="s">
        <v>372</v>
      </c>
      <c r="B56" s="2">
        <f>_xlfn.MAXIFS(Gym_data!$B:$B,Gym_data!$C:$C,$A56)</f>
        <v>45873</v>
      </c>
      <c r="C56" s="2">
        <f>IF(M56="Monthly",B56+30,IF(M56="3 Months",B56+90,
 IF(M56="6 Months",B56+180,
 IF(M56="Yearly",B56+365,"Check Plan"))))</f>
        <v>45903</v>
      </c>
      <c r="D56" t="str">
        <f>IF($O$4&lt;=C56,"Active",IF($O$4-C56&lt;=30,"At Risk","Churn Risk"))</f>
        <v>Active</v>
      </c>
      <c r="E56">
        <f xml:space="preserve"> $O$4 - B56</f>
        <v>27</v>
      </c>
      <c r="F56">
        <f>COUNTIF(Gym_data!C:C, A56)</f>
        <v>1</v>
      </c>
      <c r="G56">
        <f>SUMIF(Gym_data!C:C, A56, Gym_data!E:E)</f>
        <v>1000</v>
      </c>
      <c r="H56">
        <f>IF(E56&lt;=30,5,IF(E56&lt;=60,4,IF(E56&lt;=90,3,IF(E56&lt;=120,2,1))))</f>
        <v>5</v>
      </c>
      <c r="I56">
        <f>IF(F56&gt;=5,5, IF(F56&gt;=4,4,IF(F56&gt;=3,3,IF(F56&gt;=2,2,1))))</f>
        <v>1</v>
      </c>
      <c r="J56">
        <f>IF(G56&gt;=5000,5,IF(G56&gt;=4000,4,IF(G56&gt;=3000,3,IF(G56&gt;=2000,2,1))))</f>
        <v>1</v>
      </c>
      <c r="K56" t="str">
        <f>H56&amp;I56&amp;J56</f>
        <v>511</v>
      </c>
      <c r="L56" t="str">
        <f>IF(AND(H56&gt;=4,I56&gt;=4,J56&gt;=4),"Champion",IF(AND(H56&gt;=3,I56&gt;=3,J56&gt;=3),"Loyal",IF(AND(H56&gt;=4,I56&lt;=2),"At Risk","Churn Risk")))</f>
        <v>At Risk</v>
      </c>
      <c r="M56" t="str" cm="1">
        <f t="array" ref="M56">_xlfn.XLOOKUP(1,(Gym_data!$C:$C=$A56)*(Gym_data!$B:$B=$B56),Gym_data!$F:$F)</f>
        <v>Monthly</v>
      </c>
    </row>
    <row r="57" spans="1:13" x14ac:dyDescent="0.3">
      <c r="A57" t="s">
        <v>377</v>
      </c>
      <c r="B57" s="2">
        <f>_xlfn.MAXIFS(Gym_data!$B:$B,Gym_data!$C:$C,$A57)</f>
        <v>45880</v>
      </c>
      <c r="C57" s="2">
        <f>IF(M57="Monthly",B57+30,IF(M57="3 Months",B57+90,
 IF(M57="6 Months",B57+180,
 IF(M57="Yearly",B57+365,"Check Plan"))))</f>
        <v>45910</v>
      </c>
      <c r="D57" t="str">
        <f>IF($O$4&lt;=C57,"Active",IF($O$4-C57&lt;=30,"At Risk","Churn Risk"))</f>
        <v>Active</v>
      </c>
      <c r="E57">
        <f xml:space="preserve"> $O$4 - B57</f>
        <v>20</v>
      </c>
      <c r="F57">
        <f>COUNTIF(Gym_data!C:C, A57)</f>
        <v>1</v>
      </c>
      <c r="G57">
        <f>SUMIF(Gym_data!C:C, A57, Gym_data!E:E)</f>
        <v>1000</v>
      </c>
      <c r="H57">
        <f>IF(E57&lt;=30,5,IF(E57&lt;=60,4,IF(E57&lt;=90,3,IF(E57&lt;=120,2,1))))</f>
        <v>5</v>
      </c>
      <c r="I57">
        <f>IF(F57&gt;=5,5, IF(F57&gt;=4,4,IF(F57&gt;=3,3,IF(F57&gt;=2,2,1))))</f>
        <v>1</v>
      </c>
      <c r="J57">
        <f>IF(G57&gt;=5000,5,IF(G57&gt;=4000,4,IF(G57&gt;=3000,3,IF(G57&gt;=2000,2,1))))</f>
        <v>1</v>
      </c>
      <c r="K57" t="str">
        <f>H57&amp;I57&amp;J57</f>
        <v>511</v>
      </c>
      <c r="L57" t="str">
        <f>IF(AND(H57&gt;=4,I57&gt;=4,J57&gt;=4),"Champion",IF(AND(H57&gt;=3,I57&gt;=3,J57&gt;=3),"Loyal",IF(AND(H57&gt;=4,I57&lt;=2),"At Risk","Churn Risk")))</f>
        <v>At Risk</v>
      </c>
      <c r="M57" t="str" cm="1">
        <f t="array" ref="M57">_xlfn.XLOOKUP(1,(Gym_data!$C:$C=$A57)*(Gym_data!$B:$B=$B57),Gym_data!$F:$F)</f>
        <v>Monthly</v>
      </c>
    </row>
    <row r="58" spans="1:13" x14ac:dyDescent="0.3">
      <c r="A58" t="s">
        <v>394</v>
      </c>
      <c r="B58" s="2">
        <f>_xlfn.MAXIFS(Gym_data!$B:$B,Gym_data!$C:$C,$A58)</f>
        <v>45887</v>
      </c>
      <c r="C58" s="2">
        <f>IF(M58="Monthly",B58+30,IF(M58="3 Months",B58+90,
 IF(M58="6 Months",B58+180,
 IF(M58="Yearly",B58+365,"Check Plan"))))</f>
        <v>45917</v>
      </c>
      <c r="D58" t="str">
        <f>IF($O$4&lt;=C58,"Active",IF($O$4-C58&lt;=30,"At Risk","Churn Risk"))</f>
        <v>Active</v>
      </c>
      <c r="E58">
        <f xml:space="preserve"> $O$4 - B58</f>
        <v>13</v>
      </c>
      <c r="F58">
        <f>COUNTIF(Gym_data!C:C, A58)</f>
        <v>1</v>
      </c>
      <c r="G58">
        <f>SUMIF(Gym_data!C:C, A58, Gym_data!E:E)</f>
        <v>1000</v>
      </c>
      <c r="H58">
        <f>IF(E58&lt;=30,5,IF(E58&lt;=60,4,IF(E58&lt;=90,3,IF(E58&lt;=120,2,1))))</f>
        <v>5</v>
      </c>
      <c r="I58">
        <f>IF(F58&gt;=5,5, IF(F58&gt;=4,4,IF(F58&gt;=3,3,IF(F58&gt;=2,2,1))))</f>
        <v>1</v>
      </c>
      <c r="J58">
        <f>IF(G58&gt;=5000,5,IF(G58&gt;=4000,4,IF(G58&gt;=3000,3,IF(G58&gt;=2000,2,1))))</f>
        <v>1</v>
      </c>
      <c r="K58" t="str">
        <f>H58&amp;I58&amp;J58</f>
        <v>511</v>
      </c>
      <c r="L58" t="str">
        <f>IF(AND(H58&gt;=4,I58&gt;=4,J58&gt;=4),"Champion",IF(AND(H58&gt;=3,I58&gt;=3,J58&gt;=3),"Loyal",IF(AND(H58&gt;=4,I58&lt;=2),"At Risk","Churn Risk")))</f>
        <v>At Risk</v>
      </c>
      <c r="M58" t="str" cm="1">
        <f t="array" ref="M58">_xlfn.XLOOKUP(1,(Gym_data!$C:$C=$A58)*(Gym_data!$B:$B=$B58),Gym_data!$F:$F)</f>
        <v>Monthly</v>
      </c>
    </row>
    <row r="59" spans="1:13" x14ac:dyDescent="0.3">
      <c r="A59" t="s">
        <v>223</v>
      </c>
      <c r="B59" s="2">
        <f>_xlfn.MAXIFS(Gym_data!$B:$B,Gym_data!$C:$C,$A59)</f>
        <v>45856</v>
      </c>
      <c r="C59" s="2">
        <f>IF(M59="Monthly",B59+30,IF(M59="3 Months",B59+90,
 IF(M59="6 Months",B59+180,
 IF(M59="Yearly",B59+365,"Check Plan"))))</f>
        <v>45886</v>
      </c>
      <c r="D59" t="str">
        <f>IF($O$4&lt;=C59,"Active",IF($O$4-C59&lt;=30,"At Risk","Churn Risk"))</f>
        <v>At Risk</v>
      </c>
      <c r="E59">
        <f xml:space="preserve"> $O$4 - B59</f>
        <v>44</v>
      </c>
      <c r="F59">
        <f>COUNTIF(Gym_data!C:C, A59)</f>
        <v>5</v>
      </c>
      <c r="G59">
        <f>SUMIF(Gym_data!C:C, A59, Gym_data!E:E)</f>
        <v>5000</v>
      </c>
      <c r="H59">
        <f>IF(E59&lt;=30,5,IF(E59&lt;=60,4,IF(E59&lt;=90,3,IF(E59&lt;=120,2,1))))</f>
        <v>4</v>
      </c>
      <c r="I59">
        <f>IF(F59&gt;=5,5, IF(F59&gt;=4,4,IF(F59&gt;=3,3,IF(F59&gt;=2,2,1))))</f>
        <v>5</v>
      </c>
      <c r="J59">
        <f>IF(G59&gt;=5000,5,IF(G59&gt;=4000,4,IF(G59&gt;=3000,3,IF(G59&gt;=2000,2,1))))</f>
        <v>5</v>
      </c>
      <c r="K59" t="str">
        <f>H59&amp;I59&amp;J59</f>
        <v>455</v>
      </c>
      <c r="L59" t="str">
        <f>IF(AND(H59&gt;=4,I59&gt;=4,J59&gt;=4),"Champion",IF(AND(H59&gt;=3,I59&gt;=3,J59&gt;=3),"Loyal",IF(AND(H59&gt;=4,I59&lt;=2),"At Risk","Churn Risk")))</f>
        <v>Champion</v>
      </c>
      <c r="M59" t="str" cm="1">
        <f t="array" ref="M59">_xlfn.XLOOKUP(1,(Gym_data!$C:$C=$A59)*(Gym_data!$B:$B=$B59),Gym_data!$F:$F)</f>
        <v>Monthly</v>
      </c>
    </row>
    <row r="60" spans="1:13" x14ac:dyDescent="0.3">
      <c r="A60" t="s">
        <v>281</v>
      </c>
      <c r="B60" s="2">
        <f>_xlfn.MAXIFS(Gym_data!$B:$B,Gym_data!$C:$C,$A60)</f>
        <v>45866</v>
      </c>
      <c r="C60" s="2">
        <f>IF(M60="Monthly",B60+30,IF(M60="3 Months",B60+90,
 IF(M60="6 Months",B60+180,
 IF(M60="Yearly",B60+365,"Check Plan"))))</f>
        <v>45896</v>
      </c>
      <c r="D60" t="str">
        <f>IF($O$4&lt;=C60,"Active",IF($O$4-C60&lt;=30,"At Risk","Churn Risk"))</f>
        <v>At Risk</v>
      </c>
      <c r="E60">
        <f xml:space="preserve"> $O$4 - B60</f>
        <v>34</v>
      </c>
      <c r="F60">
        <f>COUNTIF(Gym_data!C:C, A60)</f>
        <v>5</v>
      </c>
      <c r="G60">
        <f>SUMIF(Gym_data!C:C, A60, Gym_data!E:E)</f>
        <v>5000</v>
      </c>
      <c r="H60">
        <f>IF(E60&lt;=30,5,IF(E60&lt;=60,4,IF(E60&lt;=90,3,IF(E60&lt;=120,2,1))))</f>
        <v>4</v>
      </c>
      <c r="I60">
        <f>IF(F60&gt;=5,5, IF(F60&gt;=4,4,IF(F60&gt;=3,3,IF(F60&gt;=2,2,1))))</f>
        <v>5</v>
      </c>
      <c r="J60">
        <f>IF(G60&gt;=5000,5,IF(G60&gt;=4000,4,IF(G60&gt;=3000,3,IF(G60&gt;=2000,2,1))))</f>
        <v>5</v>
      </c>
      <c r="K60" t="str">
        <f>H60&amp;I60&amp;J60</f>
        <v>455</v>
      </c>
      <c r="L60" t="str">
        <f>IF(AND(H60&gt;=4,I60&gt;=4,J60&gt;=4),"Champion",IF(AND(H60&gt;=3,I60&gt;=3,J60&gt;=3),"Loyal",IF(AND(H60&gt;=4,I60&lt;=2),"At Risk","Churn Risk")))</f>
        <v>Champion</v>
      </c>
      <c r="M60" t="str" cm="1">
        <f t="array" ref="M60">_xlfn.XLOOKUP(1,(Gym_data!$C:$C=$A60)*(Gym_data!$B:$B=$B60),Gym_data!$F:$F)</f>
        <v>Monthly</v>
      </c>
    </row>
    <row r="61" spans="1:13" x14ac:dyDescent="0.3">
      <c r="A61" t="s">
        <v>317</v>
      </c>
      <c r="B61" s="2">
        <f>_xlfn.MAXIFS(Gym_data!$B:$B,Gym_data!$C:$C,$A61)</f>
        <v>45842</v>
      </c>
      <c r="C61" s="2">
        <f>IF(M61="Monthly",B61+30,IF(M61="3 Months",B61+90,
 IF(M61="6 Months",B61+180,
 IF(M61="Yearly",B61+365,"Check Plan"))))</f>
        <v>45872</v>
      </c>
      <c r="D61" t="str">
        <f>IF($O$4&lt;=C61,"Active",IF($O$4-C61&lt;=30,"At Risk","Churn Risk"))</f>
        <v>At Risk</v>
      </c>
      <c r="E61">
        <f xml:space="preserve"> $O$4 - B61</f>
        <v>58</v>
      </c>
      <c r="F61">
        <f>COUNTIF(Gym_data!C:C, A61)</f>
        <v>5</v>
      </c>
      <c r="G61">
        <f>SUMIF(Gym_data!C:C, A61, Gym_data!E:E)</f>
        <v>5000</v>
      </c>
      <c r="H61">
        <f>IF(E61&lt;=30,5,IF(E61&lt;=60,4,IF(E61&lt;=90,3,IF(E61&lt;=120,2,1))))</f>
        <v>4</v>
      </c>
      <c r="I61">
        <f>IF(F61&gt;=5,5, IF(F61&gt;=4,4,IF(F61&gt;=3,3,IF(F61&gt;=2,2,1))))</f>
        <v>5</v>
      </c>
      <c r="J61">
        <f>IF(G61&gt;=5000,5,IF(G61&gt;=4000,4,IF(G61&gt;=3000,3,IF(G61&gt;=2000,2,1))))</f>
        <v>5</v>
      </c>
      <c r="K61" t="str">
        <f>H61&amp;I61&amp;J61</f>
        <v>455</v>
      </c>
      <c r="L61" t="str">
        <f>IF(AND(H61&gt;=4,I61&gt;=4,J61&gt;=4),"Champion",IF(AND(H61&gt;=3,I61&gt;=3,J61&gt;=3),"Loyal",IF(AND(H61&gt;=4,I61&lt;=2),"At Risk","Churn Risk")))</f>
        <v>Champion</v>
      </c>
      <c r="M61" t="str" cm="1">
        <f t="array" ref="M61">_xlfn.XLOOKUP(1,(Gym_data!$C:$C=$A61)*(Gym_data!$B:$B=$B61),Gym_data!$F:$F)</f>
        <v>Monthly</v>
      </c>
    </row>
    <row r="62" spans="1:13" x14ac:dyDescent="0.3">
      <c r="A62" t="s">
        <v>220</v>
      </c>
      <c r="B62" s="2">
        <f>_xlfn.MAXIFS(Gym_data!$B:$B,Gym_data!$C:$C,$A62)</f>
        <v>45852</v>
      </c>
      <c r="C62" s="2">
        <f>IF(M62="Monthly",B62+30,IF(M62="3 Months",B62+90,
 IF(M62="6 Months",B62+180,
 IF(M62="Yearly",B62+365,"Check Plan"))))</f>
        <v>45882</v>
      </c>
      <c r="D62" t="str">
        <f>IF($O$4&lt;=C62,"Active",IF($O$4-C62&lt;=30,"At Risk","Churn Risk"))</f>
        <v>At Risk</v>
      </c>
      <c r="E62">
        <f xml:space="preserve"> $O$4 - B62</f>
        <v>48</v>
      </c>
      <c r="F62">
        <f>COUNTIF(Gym_data!C:C, A62)</f>
        <v>4</v>
      </c>
      <c r="G62">
        <f>SUMIF(Gym_data!C:C, A62, Gym_data!E:E)</f>
        <v>4000</v>
      </c>
      <c r="H62">
        <f>IF(E62&lt;=30,5,IF(E62&lt;=60,4,IF(E62&lt;=90,3,IF(E62&lt;=120,2,1))))</f>
        <v>4</v>
      </c>
      <c r="I62">
        <f>IF(F62&gt;=5,5, IF(F62&gt;=4,4,IF(F62&gt;=3,3,IF(F62&gt;=2,2,1))))</f>
        <v>4</v>
      </c>
      <c r="J62">
        <f>IF(G62&gt;=5000,5,IF(G62&gt;=4000,4,IF(G62&gt;=3000,3,IF(G62&gt;=2000,2,1))))</f>
        <v>4</v>
      </c>
      <c r="K62" t="str">
        <f>H62&amp;I62&amp;J62</f>
        <v>444</v>
      </c>
      <c r="L62" t="str">
        <f>IF(AND(H62&gt;=4,I62&gt;=4,J62&gt;=4),"Champion",IF(AND(H62&gt;=3,I62&gt;=3,J62&gt;=3),"Loyal",IF(AND(H62&gt;=4,I62&lt;=2),"At Risk","Churn Risk")))</f>
        <v>Champion</v>
      </c>
      <c r="M62" t="str" cm="1">
        <f t="array" ref="M62">_xlfn.XLOOKUP(1,(Gym_data!$C:$C=$A62)*(Gym_data!$B:$B=$B62),Gym_data!$F:$F)</f>
        <v>Monthly</v>
      </c>
    </row>
    <row r="63" spans="1:13" x14ac:dyDescent="0.3">
      <c r="A63" t="s">
        <v>240</v>
      </c>
      <c r="B63" s="2">
        <f>_xlfn.MAXIFS(Gym_data!$B:$B,Gym_data!$C:$C,$A63)</f>
        <v>45842</v>
      </c>
      <c r="C63" s="2">
        <f>IF(M63="Monthly",B63+30,IF(M63="3 Months",B63+90,
 IF(M63="6 Months",B63+180,
 IF(M63="Yearly",B63+365,"Check Plan"))))</f>
        <v>45872</v>
      </c>
      <c r="D63" t="str">
        <f>IF($O$4&lt;=C63,"Active",IF($O$4-C63&lt;=30,"At Risk","Churn Risk"))</f>
        <v>At Risk</v>
      </c>
      <c r="E63">
        <f xml:space="preserve"> $O$4 - B63</f>
        <v>58</v>
      </c>
      <c r="F63">
        <f>COUNTIF(Gym_data!C:C, A63)</f>
        <v>4</v>
      </c>
      <c r="G63">
        <f>SUMIF(Gym_data!C:C, A63, Gym_data!E:E)</f>
        <v>4000</v>
      </c>
      <c r="H63">
        <f>IF(E63&lt;=30,5,IF(E63&lt;=60,4,IF(E63&lt;=90,3,IF(E63&lt;=120,2,1))))</f>
        <v>4</v>
      </c>
      <c r="I63">
        <f>IF(F63&gt;=5,5, IF(F63&gt;=4,4,IF(F63&gt;=3,3,IF(F63&gt;=2,2,1))))</f>
        <v>4</v>
      </c>
      <c r="J63">
        <f>IF(G63&gt;=5000,5,IF(G63&gt;=4000,4,IF(G63&gt;=3000,3,IF(G63&gt;=2000,2,1))))</f>
        <v>4</v>
      </c>
      <c r="K63" t="str">
        <f>H63&amp;I63&amp;J63</f>
        <v>444</v>
      </c>
      <c r="L63" t="str">
        <f>IF(AND(H63&gt;=4,I63&gt;=4,J63&gt;=4),"Champion",IF(AND(H63&gt;=3,I63&gt;=3,J63&gt;=3),"Loyal",IF(AND(H63&gt;=4,I63&lt;=2),"At Risk","Churn Risk")))</f>
        <v>Champion</v>
      </c>
      <c r="M63" t="str" cm="1">
        <f t="array" ref="M63">_xlfn.XLOOKUP(1,(Gym_data!$C:$C=$A63)*(Gym_data!$B:$B=$B63),Gym_data!$F:$F)</f>
        <v>Monthly</v>
      </c>
    </row>
    <row r="64" spans="1:13" x14ac:dyDescent="0.3">
      <c r="A64" t="s">
        <v>276</v>
      </c>
      <c r="B64" s="2">
        <f>_xlfn.MAXIFS(Gym_data!$B:$B,Gym_data!$C:$C,$A64)</f>
        <v>45863</v>
      </c>
      <c r="C64" s="2">
        <f>IF(M64="Monthly",B64+30,IF(M64="3 Months",B64+90,
 IF(M64="6 Months",B64+180,
 IF(M64="Yearly",B64+365,"Check Plan"))))</f>
        <v>45893</v>
      </c>
      <c r="D64" t="str">
        <f>IF($O$4&lt;=C64,"Active",IF($O$4-C64&lt;=30,"At Risk","Churn Risk"))</f>
        <v>At Risk</v>
      </c>
      <c r="E64">
        <f xml:space="preserve"> $O$4 - B64</f>
        <v>37</v>
      </c>
      <c r="F64">
        <f>COUNTIF(Gym_data!C:C, A64)</f>
        <v>4</v>
      </c>
      <c r="G64">
        <f>SUMIF(Gym_data!C:C, A64, Gym_data!E:E)</f>
        <v>4000</v>
      </c>
      <c r="H64">
        <f>IF(E64&lt;=30,5,IF(E64&lt;=60,4,IF(E64&lt;=90,3,IF(E64&lt;=120,2,1))))</f>
        <v>4</v>
      </c>
      <c r="I64">
        <f>IF(F64&gt;=5,5, IF(F64&gt;=4,4,IF(F64&gt;=3,3,IF(F64&gt;=2,2,1))))</f>
        <v>4</v>
      </c>
      <c r="J64">
        <f>IF(G64&gt;=5000,5,IF(G64&gt;=4000,4,IF(G64&gt;=3000,3,IF(G64&gt;=2000,2,1))))</f>
        <v>4</v>
      </c>
      <c r="K64" t="str">
        <f>H64&amp;I64&amp;J64</f>
        <v>444</v>
      </c>
      <c r="L64" t="str">
        <f>IF(AND(H64&gt;=4,I64&gt;=4,J64&gt;=4),"Champion",IF(AND(H64&gt;=3,I64&gt;=3,J64&gt;=3),"Loyal",IF(AND(H64&gt;=4,I64&lt;=2),"At Risk","Churn Risk")))</f>
        <v>Champion</v>
      </c>
      <c r="M64" t="str" cm="1">
        <f t="array" ref="M64">_xlfn.XLOOKUP(1,(Gym_data!$C:$C=$A64)*(Gym_data!$B:$B=$B64),Gym_data!$F:$F)</f>
        <v>Monthly</v>
      </c>
    </row>
    <row r="65" spans="1:13" x14ac:dyDescent="0.3">
      <c r="A65" t="s">
        <v>320</v>
      </c>
      <c r="B65" s="2">
        <f>_xlfn.MAXIFS(Gym_data!$B:$B,Gym_data!$C:$C,$A65)</f>
        <v>45849</v>
      </c>
      <c r="C65" s="2">
        <f>IF(M65="Monthly",B65+30,IF(M65="3 Months",B65+90,
 IF(M65="6 Months",B65+180,
 IF(M65="Yearly",B65+365,"Check Plan"))))</f>
        <v>45879</v>
      </c>
      <c r="D65" t="str">
        <f>IF($O$4&lt;=C65,"Active",IF($O$4-C65&lt;=30,"At Risk","Churn Risk"))</f>
        <v>At Risk</v>
      </c>
      <c r="E65">
        <f xml:space="preserve"> $O$4 - B65</f>
        <v>51</v>
      </c>
      <c r="F65">
        <f>COUNTIF(Gym_data!C:C, A65)</f>
        <v>4</v>
      </c>
      <c r="G65">
        <f>SUMIF(Gym_data!C:C, A65, Gym_data!E:E)</f>
        <v>3200</v>
      </c>
      <c r="H65">
        <f>IF(E65&lt;=30,5,IF(E65&lt;=60,4,IF(E65&lt;=90,3,IF(E65&lt;=120,2,1))))</f>
        <v>4</v>
      </c>
      <c r="I65">
        <f>IF(F65&gt;=5,5, IF(F65&gt;=4,4,IF(F65&gt;=3,3,IF(F65&gt;=2,2,1))))</f>
        <v>4</v>
      </c>
      <c r="J65">
        <f>IF(G65&gt;=5000,5,IF(G65&gt;=4000,4,IF(G65&gt;=3000,3,IF(G65&gt;=2000,2,1))))</f>
        <v>3</v>
      </c>
      <c r="K65" t="str">
        <f>H65&amp;I65&amp;J65</f>
        <v>443</v>
      </c>
      <c r="L65" t="str">
        <f>IF(AND(H65&gt;=4,I65&gt;=4,J65&gt;=4),"Champion",IF(AND(H65&gt;=3,I65&gt;=3,J65&gt;=3),"Loyal",IF(AND(H65&gt;=4,I65&lt;=2),"At Risk","Churn Risk")))</f>
        <v>Loyal</v>
      </c>
      <c r="M65" t="str" cm="1">
        <f t="array" ref="M65">_xlfn.XLOOKUP(1,(Gym_data!$C:$C=$A65)*(Gym_data!$B:$B=$B65),Gym_data!$F:$F)</f>
        <v>Monthly</v>
      </c>
    </row>
    <row r="66" spans="1:13" x14ac:dyDescent="0.3">
      <c r="A66" t="s">
        <v>247</v>
      </c>
      <c r="B66" s="2">
        <f>_xlfn.MAXIFS(Gym_data!$B:$B,Gym_data!$C:$C,$A66)</f>
        <v>45853</v>
      </c>
      <c r="C66" s="2">
        <f>IF(M66="Monthly",B66+30,IF(M66="3 Months",B66+90,
 IF(M66="6 Months",B66+180,
 IF(M66="Yearly",B66+365,"Check Plan"))))</f>
        <v>45883</v>
      </c>
      <c r="D66" t="str">
        <f>IF($O$4&lt;=C66,"Active",IF($O$4-C66&lt;=30,"At Risk","Churn Risk"))</f>
        <v>At Risk</v>
      </c>
      <c r="E66">
        <f xml:space="preserve"> $O$4 - B66</f>
        <v>47</v>
      </c>
      <c r="F66">
        <f>COUNTIF(Gym_data!C:C, A66)</f>
        <v>3</v>
      </c>
      <c r="G66">
        <f>SUMIF(Gym_data!C:C, A66, Gym_data!E:E)</f>
        <v>4000</v>
      </c>
      <c r="H66">
        <f>IF(E66&lt;=30,5,IF(E66&lt;=60,4,IF(E66&lt;=90,3,IF(E66&lt;=120,2,1))))</f>
        <v>4</v>
      </c>
      <c r="I66">
        <f>IF(F66&gt;=5,5, IF(F66&gt;=4,4,IF(F66&gt;=3,3,IF(F66&gt;=2,2,1))))</f>
        <v>3</v>
      </c>
      <c r="J66">
        <f>IF(G66&gt;=5000,5,IF(G66&gt;=4000,4,IF(G66&gt;=3000,3,IF(G66&gt;=2000,2,1))))</f>
        <v>4</v>
      </c>
      <c r="K66" t="str">
        <f>H66&amp;I66&amp;J66</f>
        <v>434</v>
      </c>
      <c r="L66" t="str">
        <f>IF(AND(H66&gt;=4,I66&gt;=4,J66&gt;=4),"Champion",IF(AND(H66&gt;=3,I66&gt;=3,J66&gt;=3),"Loyal",IF(AND(H66&gt;=4,I66&lt;=2),"At Risk","Churn Risk")))</f>
        <v>Loyal</v>
      </c>
      <c r="M66" t="str" cm="1">
        <f t="array" ref="M66">_xlfn.XLOOKUP(1,(Gym_data!$C:$C=$A66)*(Gym_data!$B:$B=$B66),Gym_data!$F:$F)</f>
        <v>Monthly</v>
      </c>
    </row>
    <row r="67" spans="1:13" x14ac:dyDescent="0.3">
      <c r="A67" t="s">
        <v>335</v>
      </c>
      <c r="B67" s="2">
        <f>_xlfn.MAXIFS(Gym_data!$B:$B,Gym_data!$C:$C,$A67)</f>
        <v>45867</v>
      </c>
      <c r="C67" s="2">
        <f>IF(M67="Monthly",B67+30,IF(M67="3 Months",B67+90,
 IF(M67="6 Months",B67+180,
 IF(M67="Yearly",B67+365,"Check Plan"))))</f>
        <v>45897</v>
      </c>
      <c r="D67" t="str">
        <f>IF($O$4&lt;=C67,"Active",IF($O$4-C67&lt;=30,"At Risk","Churn Risk"))</f>
        <v>At Risk</v>
      </c>
      <c r="E67">
        <f xml:space="preserve"> $O$4 - B67</f>
        <v>33</v>
      </c>
      <c r="F67">
        <f>COUNTIF(Gym_data!C:C, A67)</f>
        <v>3</v>
      </c>
      <c r="G67">
        <f>SUMIF(Gym_data!C:C, A67, Gym_data!E:E)</f>
        <v>4400</v>
      </c>
      <c r="H67">
        <f>IF(E67&lt;=30,5,IF(E67&lt;=60,4,IF(E67&lt;=90,3,IF(E67&lt;=120,2,1))))</f>
        <v>4</v>
      </c>
      <c r="I67">
        <f>IF(F67&gt;=5,5, IF(F67&gt;=4,4,IF(F67&gt;=3,3,IF(F67&gt;=2,2,1))))</f>
        <v>3</v>
      </c>
      <c r="J67">
        <f>IF(G67&gt;=5000,5,IF(G67&gt;=4000,4,IF(G67&gt;=3000,3,IF(G67&gt;=2000,2,1))))</f>
        <v>4</v>
      </c>
      <c r="K67" t="str">
        <f>H67&amp;I67&amp;J67</f>
        <v>434</v>
      </c>
      <c r="L67" t="str">
        <f>IF(AND(H67&gt;=4,I67&gt;=4,J67&gt;=4),"Champion",IF(AND(H67&gt;=3,I67&gt;=3,J67&gt;=3),"Loyal",IF(AND(H67&gt;=4,I67&lt;=2),"At Risk","Churn Risk")))</f>
        <v>Loyal</v>
      </c>
      <c r="M67" t="str" cm="1">
        <f t="array" ref="M67">_xlfn.XLOOKUP(1,(Gym_data!$C:$C=$A67)*(Gym_data!$B:$B=$B67),Gym_data!$F:$F)</f>
        <v>Monthly</v>
      </c>
    </row>
    <row r="68" spans="1:13" x14ac:dyDescent="0.3">
      <c r="A68" t="s">
        <v>396</v>
      </c>
      <c r="B68" s="2">
        <f>_xlfn.MAXIFS(Gym_data!$B:$B,Gym_data!$C:$C,$A68)</f>
        <v>45843</v>
      </c>
      <c r="C68" s="2">
        <f>IF(M68="Monthly",B68+30,IF(M68="3 Months",B68+90,
 IF(M68="6 Months",B68+180,
 IF(M68="Yearly",B68+365,"Check Plan"))))</f>
        <v>45933</v>
      </c>
      <c r="D68" t="str">
        <f>IF($O$4&lt;=C68,"Active",IF($O$4-C68&lt;=30,"At Risk","Churn Risk"))</f>
        <v>Active</v>
      </c>
      <c r="E68">
        <f xml:space="preserve"> $O$4 - B68</f>
        <v>57</v>
      </c>
      <c r="F68">
        <f>COUNTIF(Gym_data!C:C, A68)</f>
        <v>3</v>
      </c>
      <c r="G68">
        <f>SUMIF(Gym_data!C:C, A68, Gym_data!E:E)</f>
        <v>4800</v>
      </c>
      <c r="H68">
        <f>IF(E68&lt;=30,5,IF(E68&lt;=60,4,IF(E68&lt;=90,3,IF(E68&lt;=120,2,1))))</f>
        <v>4</v>
      </c>
      <c r="I68">
        <f>IF(F68&gt;=5,5, IF(F68&gt;=4,4,IF(F68&gt;=3,3,IF(F68&gt;=2,2,1))))</f>
        <v>3</v>
      </c>
      <c r="J68">
        <f>IF(G68&gt;=5000,5,IF(G68&gt;=4000,4,IF(G68&gt;=3000,3,IF(G68&gt;=2000,2,1))))</f>
        <v>4</v>
      </c>
      <c r="K68" t="str">
        <f>H68&amp;I68&amp;J68</f>
        <v>434</v>
      </c>
      <c r="L68" t="str">
        <f>IF(AND(H68&gt;=4,I68&gt;=4,J68&gt;=4),"Champion",IF(AND(H68&gt;=3,I68&gt;=3,J68&gt;=3),"Loyal",IF(AND(H68&gt;=4,I68&lt;=2),"At Risk","Churn Risk")))</f>
        <v>Loyal</v>
      </c>
      <c r="M68" t="str" cm="1">
        <f t="array" ref="M68">_xlfn.XLOOKUP(1,(Gym_data!$C:$C=$A68)*(Gym_data!$B:$B=$B68),Gym_data!$F:$F)</f>
        <v>3 Months</v>
      </c>
    </row>
    <row r="69" spans="1:13" x14ac:dyDescent="0.3">
      <c r="A69" t="s">
        <v>228</v>
      </c>
      <c r="B69" s="2">
        <f>_xlfn.MAXIFS(Gym_data!$B:$B,Gym_data!$C:$C,$A69)</f>
        <v>45860</v>
      </c>
      <c r="C69" s="2">
        <f>IF(M69="Monthly",B69+30,IF(M69="3 Months",B69+90,
 IF(M69="6 Months",B69+180,
 IF(M69="Yearly",B69+365,"Check Plan"))))</f>
        <v>45890</v>
      </c>
      <c r="D69" t="str">
        <f>IF($O$4&lt;=C69,"Active",IF($O$4-C69&lt;=30,"At Risk","Churn Risk"))</f>
        <v>At Risk</v>
      </c>
      <c r="E69">
        <f xml:space="preserve"> $O$4 - B69</f>
        <v>40</v>
      </c>
      <c r="F69">
        <f>COUNTIF(Gym_data!C:C, A69)</f>
        <v>3</v>
      </c>
      <c r="G69">
        <f>SUMIF(Gym_data!C:C, A69, Gym_data!E:E)</f>
        <v>3000</v>
      </c>
      <c r="H69">
        <f>IF(E69&lt;=30,5,IF(E69&lt;=60,4,IF(E69&lt;=90,3,IF(E69&lt;=120,2,1))))</f>
        <v>4</v>
      </c>
      <c r="I69">
        <f>IF(F69&gt;=5,5, IF(F69&gt;=4,4,IF(F69&gt;=3,3,IF(F69&gt;=2,2,1))))</f>
        <v>3</v>
      </c>
      <c r="J69">
        <f>IF(G69&gt;=5000,5,IF(G69&gt;=4000,4,IF(G69&gt;=3000,3,IF(G69&gt;=2000,2,1))))</f>
        <v>3</v>
      </c>
      <c r="K69" t="str">
        <f>H69&amp;I69&amp;J69</f>
        <v>433</v>
      </c>
      <c r="L69" t="str">
        <f>IF(AND(H69&gt;=4,I69&gt;=4,J69&gt;=4),"Champion",IF(AND(H69&gt;=3,I69&gt;=3,J69&gt;=3),"Loyal",IF(AND(H69&gt;=4,I69&lt;=2),"At Risk","Churn Risk")))</f>
        <v>Loyal</v>
      </c>
      <c r="M69" t="str" cm="1">
        <f t="array" ref="M69">_xlfn.XLOOKUP(1,(Gym_data!$C:$C=$A69)*(Gym_data!$B:$B=$B69),Gym_data!$F:$F)</f>
        <v>Monthly</v>
      </c>
    </row>
    <row r="70" spans="1:13" x14ac:dyDescent="0.3">
      <c r="A70" t="s">
        <v>233</v>
      </c>
      <c r="B70" s="2">
        <f>_xlfn.MAXIFS(Gym_data!$B:$B,Gym_data!$C:$C,$A70)</f>
        <v>45854</v>
      </c>
      <c r="C70" s="2">
        <f>IF(M70="Monthly",B70+30,IF(M70="3 Months",B70+90,
 IF(M70="6 Months",B70+180,
 IF(M70="Yearly",B70+365,"Check Plan"))))</f>
        <v>45884</v>
      </c>
      <c r="D70" t="str">
        <f>IF($O$4&lt;=C70,"Active",IF($O$4-C70&lt;=30,"At Risk","Churn Risk"))</f>
        <v>At Risk</v>
      </c>
      <c r="E70">
        <f xml:space="preserve"> $O$4 - B70</f>
        <v>46</v>
      </c>
      <c r="F70">
        <f>COUNTIF(Gym_data!C:C, A70)</f>
        <v>3</v>
      </c>
      <c r="G70">
        <f>SUMIF(Gym_data!C:C, A70, Gym_data!E:E)</f>
        <v>3000</v>
      </c>
      <c r="H70">
        <f>IF(E70&lt;=30,5,IF(E70&lt;=60,4,IF(E70&lt;=90,3,IF(E70&lt;=120,2,1))))</f>
        <v>4</v>
      </c>
      <c r="I70">
        <f>IF(F70&gt;=5,5, IF(F70&gt;=4,4,IF(F70&gt;=3,3,IF(F70&gt;=2,2,1))))</f>
        <v>3</v>
      </c>
      <c r="J70">
        <f>IF(G70&gt;=5000,5,IF(G70&gt;=4000,4,IF(G70&gt;=3000,3,IF(G70&gt;=2000,2,1))))</f>
        <v>3</v>
      </c>
      <c r="K70" t="str">
        <f>H70&amp;I70&amp;J70</f>
        <v>433</v>
      </c>
      <c r="L70" t="str">
        <f>IF(AND(H70&gt;=4,I70&gt;=4,J70&gt;=4),"Champion",IF(AND(H70&gt;=3,I70&gt;=3,J70&gt;=3),"Loyal",IF(AND(H70&gt;=4,I70&lt;=2),"At Risk","Churn Risk")))</f>
        <v>Loyal</v>
      </c>
      <c r="M70" t="str" cm="1">
        <f t="array" ref="M70">_xlfn.XLOOKUP(1,(Gym_data!$C:$C=$A70)*(Gym_data!$B:$B=$B70),Gym_data!$F:$F)</f>
        <v>Monthly</v>
      </c>
    </row>
    <row r="71" spans="1:13" x14ac:dyDescent="0.3">
      <c r="A71" t="s">
        <v>389</v>
      </c>
      <c r="B71" s="2">
        <f>_xlfn.MAXIFS(Gym_data!$B:$B,Gym_data!$C:$C,$A71)</f>
        <v>45841</v>
      </c>
      <c r="C71" s="2">
        <f>IF(M71="Monthly",B71+30,IF(M71="3 Months",B71+90,
 IF(M71="6 Months",B71+180,
 IF(M71="Yearly",B71+365,"Check Plan"))))</f>
        <v>45871</v>
      </c>
      <c r="D71" t="str">
        <f>IF($O$4&lt;=C71,"Active",IF($O$4-C71&lt;=30,"At Risk","Churn Risk"))</f>
        <v>At Risk</v>
      </c>
      <c r="E71">
        <f xml:space="preserve"> $O$4 - B71</f>
        <v>59</v>
      </c>
      <c r="F71">
        <f>COUNTIF(Gym_data!C:C, A71)</f>
        <v>3</v>
      </c>
      <c r="G71">
        <f>SUMIF(Gym_data!C:C, A71, Gym_data!E:E)</f>
        <v>3000</v>
      </c>
      <c r="H71">
        <f>IF(E71&lt;=30,5,IF(E71&lt;=60,4,IF(E71&lt;=90,3,IF(E71&lt;=120,2,1))))</f>
        <v>4</v>
      </c>
      <c r="I71">
        <f>IF(F71&gt;=5,5, IF(F71&gt;=4,4,IF(F71&gt;=3,3,IF(F71&gt;=2,2,1))))</f>
        <v>3</v>
      </c>
      <c r="J71">
        <f>IF(G71&gt;=5000,5,IF(G71&gt;=4000,4,IF(G71&gt;=3000,3,IF(G71&gt;=2000,2,1))))</f>
        <v>3</v>
      </c>
      <c r="K71" t="str">
        <f>H71&amp;I71&amp;J71</f>
        <v>433</v>
      </c>
      <c r="L71" t="str">
        <f>IF(AND(H71&gt;=4,I71&gt;=4,J71&gt;=4),"Champion",IF(AND(H71&gt;=3,I71&gt;=3,J71&gt;=3),"Loyal",IF(AND(H71&gt;=4,I71&lt;=2),"At Risk","Churn Risk")))</f>
        <v>Loyal</v>
      </c>
      <c r="M71" t="str" cm="1">
        <f t="array" ref="M71">_xlfn.XLOOKUP(1,(Gym_data!$C:$C=$A71)*(Gym_data!$B:$B=$B71),Gym_data!$F:$F)</f>
        <v>Monthly</v>
      </c>
    </row>
    <row r="72" spans="1:13" x14ac:dyDescent="0.3">
      <c r="A72" t="s">
        <v>311</v>
      </c>
      <c r="B72" s="2">
        <f>_xlfn.MAXIFS(Gym_data!$B:$B,Gym_data!$C:$C,$A72)</f>
        <v>45867</v>
      </c>
      <c r="C72" s="2">
        <f>IF(M72="Monthly",B72+30,IF(M72="3 Months",B72+90,
 IF(M72="6 Months",B72+180,
 IF(M72="Yearly",B72+365,"Check Plan"))))</f>
        <v>45897</v>
      </c>
      <c r="D72" t="str">
        <f>IF($O$4&lt;=C72,"Active",IF($O$4-C72&lt;=30,"At Risk","Churn Risk"))</f>
        <v>At Risk</v>
      </c>
      <c r="E72">
        <f xml:space="preserve"> $O$4 - B72</f>
        <v>33</v>
      </c>
      <c r="F72">
        <f>COUNTIF(Gym_data!C:C, A72)</f>
        <v>3</v>
      </c>
      <c r="G72">
        <f>SUMIF(Gym_data!C:C, A72, Gym_data!E:E)</f>
        <v>2200</v>
      </c>
      <c r="H72">
        <f>IF(E72&lt;=30,5,IF(E72&lt;=60,4,IF(E72&lt;=90,3,IF(E72&lt;=120,2,1))))</f>
        <v>4</v>
      </c>
      <c r="I72">
        <f>IF(F72&gt;=5,5, IF(F72&gt;=4,4,IF(F72&gt;=3,3,IF(F72&gt;=2,2,1))))</f>
        <v>3</v>
      </c>
      <c r="J72">
        <f>IF(G72&gt;=5000,5,IF(G72&gt;=4000,4,IF(G72&gt;=3000,3,IF(G72&gt;=2000,2,1))))</f>
        <v>2</v>
      </c>
      <c r="K72" t="str">
        <f>H72&amp;I72&amp;J72</f>
        <v>432</v>
      </c>
      <c r="L72" t="str">
        <f>IF(AND(H72&gt;=4,I72&gt;=4,J72&gt;=4),"Champion",IF(AND(H72&gt;=3,I72&gt;=3,J72&gt;=3),"Loyal",IF(AND(H72&gt;=4,I72&lt;=2),"At Risk","Churn Risk")))</f>
        <v>Churn Risk</v>
      </c>
      <c r="M72" t="str" cm="1">
        <f t="array" ref="M72">_xlfn.XLOOKUP(1,(Gym_data!$C:$C=$A72)*(Gym_data!$B:$B=$B72),Gym_data!$F:$F)</f>
        <v>Monthly</v>
      </c>
    </row>
    <row r="73" spans="1:13" x14ac:dyDescent="0.3">
      <c r="A73" t="s">
        <v>255</v>
      </c>
      <c r="B73" s="2">
        <f>_xlfn.MAXIFS(Gym_data!$B:$B,Gym_data!$C:$C,$A73)</f>
        <v>45840</v>
      </c>
      <c r="C73" s="2">
        <f>IF(M73="Monthly",B73+30,IF(M73="3 Months",B73+90,
 IF(M73="6 Months",B73+180,
 IF(M73="Yearly",B73+365,"Check Plan"))))</f>
        <v>45930</v>
      </c>
      <c r="D73" t="str">
        <f>IF($O$4&lt;=C73,"Active",IF($O$4-C73&lt;=30,"At Risk","Churn Risk"))</f>
        <v>Active</v>
      </c>
      <c r="E73">
        <f xml:space="preserve"> $O$4 - B73</f>
        <v>60</v>
      </c>
      <c r="F73">
        <f>COUNTIF(Gym_data!C:C, A73)</f>
        <v>2</v>
      </c>
      <c r="G73">
        <f>SUMIF(Gym_data!C:C, A73, Gym_data!E:E)</f>
        <v>6000</v>
      </c>
      <c r="H73">
        <f>IF(E73&lt;=30,5,IF(E73&lt;=60,4,IF(E73&lt;=90,3,IF(E73&lt;=120,2,1))))</f>
        <v>4</v>
      </c>
      <c r="I73">
        <f>IF(F73&gt;=5,5, IF(F73&gt;=4,4,IF(F73&gt;=3,3,IF(F73&gt;=2,2,1))))</f>
        <v>2</v>
      </c>
      <c r="J73">
        <f>IF(G73&gt;=5000,5,IF(G73&gt;=4000,4,IF(G73&gt;=3000,3,IF(G73&gt;=2000,2,1))))</f>
        <v>5</v>
      </c>
      <c r="K73" t="str">
        <f>H73&amp;I73&amp;J73</f>
        <v>425</v>
      </c>
      <c r="L73" t="str">
        <f>IF(AND(H73&gt;=4,I73&gt;=4,J73&gt;=4),"Champion",IF(AND(H73&gt;=3,I73&gt;=3,J73&gt;=3),"Loyal",IF(AND(H73&gt;=4,I73&lt;=2),"At Risk","Churn Risk")))</f>
        <v>At Risk</v>
      </c>
      <c r="M73" t="str" cm="1">
        <f t="array" ref="M73">_xlfn.XLOOKUP(1,(Gym_data!$C:$C=$A73)*(Gym_data!$B:$B=$B73),Gym_data!$F:$F)</f>
        <v>3 Months</v>
      </c>
    </row>
    <row r="74" spans="1:13" x14ac:dyDescent="0.3">
      <c r="A74" t="s">
        <v>262</v>
      </c>
      <c r="B74" s="2">
        <f>_xlfn.MAXIFS(Gym_data!$B:$B,Gym_data!$C:$C,$A74)</f>
        <v>45853</v>
      </c>
      <c r="C74" s="2">
        <f>IF(M74="Monthly",B74+30,IF(M74="3 Months",B74+90,
 IF(M74="6 Months",B74+180,
 IF(M74="Yearly",B74+365,"Check Plan"))))</f>
        <v>45883</v>
      </c>
      <c r="D74" t="str">
        <f>IF($O$4&lt;=C74,"Active",IF($O$4-C74&lt;=30,"At Risk","Churn Risk"))</f>
        <v>At Risk</v>
      </c>
      <c r="E74">
        <f xml:space="preserve"> $O$4 - B74</f>
        <v>47</v>
      </c>
      <c r="F74">
        <f>COUNTIF(Gym_data!C:C, A74)</f>
        <v>2</v>
      </c>
      <c r="G74">
        <f>SUMIF(Gym_data!C:C, A74, Gym_data!E:E)</f>
        <v>2000</v>
      </c>
      <c r="H74">
        <f>IF(E74&lt;=30,5,IF(E74&lt;=60,4,IF(E74&lt;=90,3,IF(E74&lt;=120,2,1))))</f>
        <v>4</v>
      </c>
      <c r="I74">
        <f>IF(F74&gt;=5,5, IF(F74&gt;=4,4,IF(F74&gt;=3,3,IF(F74&gt;=2,2,1))))</f>
        <v>2</v>
      </c>
      <c r="J74">
        <f>IF(G74&gt;=5000,5,IF(G74&gt;=4000,4,IF(G74&gt;=3000,3,IF(G74&gt;=2000,2,1))))</f>
        <v>2</v>
      </c>
      <c r="K74" t="str">
        <f>H74&amp;I74&amp;J74</f>
        <v>422</v>
      </c>
      <c r="L74" t="str">
        <f>IF(AND(H74&gt;=4,I74&gt;=4,J74&gt;=4),"Champion",IF(AND(H74&gt;=3,I74&gt;=3,J74&gt;=3),"Loyal",IF(AND(H74&gt;=4,I74&lt;=2),"At Risk","Churn Risk")))</f>
        <v>At Risk</v>
      </c>
      <c r="M74" t="str" cm="1">
        <f t="array" ref="M74">_xlfn.XLOOKUP(1,(Gym_data!$C:$C=$A74)*(Gym_data!$B:$B=$B74),Gym_data!$F:$F)</f>
        <v>Monthly</v>
      </c>
    </row>
    <row r="75" spans="1:13" x14ac:dyDescent="0.3">
      <c r="A75" t="s">
        <v>300</v>
      </c>
      <c r="B75" s="2">
        <f>_xlfn.MAXIFS(Gym_data!$B:$B,Gym_data!$C:$C,$A75)</f>
        <v>45869</v>
      </c>
      <c r="C75" s="2">
        <f>IF(M75="Monthly",B75+30,IF(M75="3 Months",B75+90,
 IF(M75="6 Months",B75+180,
 IF(M75="Yearly",B75+365,"Check Plan"))))</f>
        <v>45899</v>
      </c>
      <c r="D75" t="str">
        <f>IF($O$4&lt;=C75,"Active",IF($O$4-C75&lt;=30,"At Risk","Churn Risk"))</f>
        <v>At Risk</v>
      </c>
      <c r="E75">
        <f xml:space="preserve"> $O$4 - B75</f>
        <v>31</v>
      </c>
      <c r="F75">
        <f>COUNTIF(Gym_data!C:C, A75)</f>
        <v>2</v>
      </c>
      <c r="G75">
        <f>SUMIF(Gym_data!C:C, A75, Gym_data!E:E)</f>
        <v>2000</v>
      </c>
      <c r="H75">
        <f>IF(E75&lt;=30,5,IF(E75&lt;=60,4,IF(E75&lt;=90,3,IF(E75&lt;=120,2,1))))</f>
        <v>4</v>
      </c>
      <c r="I75">
        <f>IF(F75&gt;=5,5, IF(F75&gt;=4,4,IF(F75&gt;=3,3,IF(F75&gt;=2,2,1))))</f>
        <v>2</v>
      </c>
      <c r="J75">
        <f>IF(G75&gt;=5000,5,IF(G75&gt;=4000,4,IF(G75&gt;=3000,3,IF(G75&gt;=2000,2,1))))</f>
        <v>2</v>
      </c>
      <c r="K75" t="str">
        <f>H75&amp;I75&amp;J75</f>
        <v>422</v>
      </c>
      <c r="L75" t="str">
        <f>IF(AND(H75&gt;=4,I75&gt;=4,J75&gt;=4),"Champion",IF(AND(H75&gt;=3,I75&gt;=3,J75&gt;=3),"Loyal",IF(AND(H75&gt;=4,I75&lt;=2),"At Risk","Churn Risk")))</f>
        <v>At Risk</v>
      </c>
      <c r="M75" t="str" cm="1">
        <f t="array" ref="M75">_xlfn.XLOOKUP(1,(Gym_data!$C:$C=$A75)*(Gym_data!$B:$B=$B75),Gym_data!$F:$F)</f>
        <v>Monthly</v>
      </c>
    </row>
    <row r="76" spans="1:13" x14ac:dyDescent="0.3">
      <c r="A76" t="s">
        <v>310</v>
      </c>
      <c r="B76" s="2">
        <f>_xlfn.MAXIFS(Gym_data!$B:$B,Gym_data!$C:$C,$A76)</f>
        <v>45852</v>
      </c>
      <c r="C76" s="2">
        <f>IF(M76="Monthly",B76+30,IF(M76="3 Months",B76+90,
 IF(M76="6 Months",B76+180,
 IF(M76="Yearly",B76+365,"Check Plan"))))</f>
        <v>45882</v>
      </c>
      <c r="D76" t="str">
        <f>IF($O$4&lt;=C76,"Active",IF($O$4-C76&lt;=30,"At Risk","Churn Risk"))</f>
        <v>At Risk</v>
      </c>
      <c r="E76">
        <f xml:space="preserve"> $O$4 - B76</f>
        <v>48</v>
      </c>
      <c r="F76">
        <f>COUNTIF(Gym_data!C:C, A76)</f>
        <v>2</v>
      </c>
      <c r="G76">
        <f>SUMIF(Gym_data!C:C, A76, Gym_data!E:E)</f>
        <v>2000</v>
      </c>
      <c r="H76">
        <f>IF(E76&lt;=30,5,IF(E76&lt;=60,4,IF(E76&lt;=90,3,IF(E76&lt;=120,2,1))))</f>
        <v>4</v>
      </c>
      <c r="I76">
        <f>IF(F76&gt;=5,5, IF(F76&gt;=4,4,IF(F76&gt;=3,3,IF(F76&gt;=2,2,1))))</f>
        <v>2</v>
      </c>
      <c r="J76">
        <f>IF(G76&gt;=5000,5,IF(G76&gt;=4000,4,IF(G76&gt;=3000,3,IF(G76&gt;=2000,2,1))))</f>
        <v>2</v>
      </c>
      <c r="K76" t="str">
        <f>H76&amp;I76&amp;J76</f>
        <v>422</v>
      </c>
      <c r="L76" t="str">
        <f>IF(AND(H76&gt;=4,I76&gt;=4,J76&gt;=4),"Champion",IF(AND(H76&gt;=3,I76&gt;=3,J76&gt;=3),"Loyal",IF(AND(H76&gt;=4,I76&lt;=2),"At Risk","Churn Risk")))</f>
        <v>At Risk</v>
      </c>
      <c r="M76" t="str" cm="1">
        <f t="array" ref="M76">_xlfn.XLOOKUP(1,(Gym_data!$C:$C=$A76)*(Gym_data!$B:$B=$B76),Gym_data!$F:$F)</f>
        <v>Monthly</v>
      </c>
    </row>
    <row r="77" spans="1:13" x14ac:dyDescent="0.3">
      <c r="A77" t="s">
        <v>315</v>
      </c>
      <c r="B77" s="2">
        <f>_xlfn.MAXIFS(Gym_data!$B:$B,Gym_data!$C:$C,$A77)</f>
        <v>45850</v>
      </c>
      <c r="C77" s="2">
        <f>IF(M77="Monthly",B77+30,IF(M77="3 Months",B77+90,
 IF(M77="6 Months",B77+180,
 IF(M77="Yearly",B77+365,"Check Plan"))))</f>
        <v>45880</v>
      </c>
      <c r="D77" t="str">
        <f>IF($O$4&lt;=C77,"Active",IF($O$4-C77&lt;=30,"At Risk","Churn Risk"))</f>
        <v>At Risk</v>
      </c>
      <c r="E77">
        <f xml:space="preserve"> $O$4 - B77</f>
        <v>50</v>
      </c>
      <c r="F77">
        <f>COUNTIF(Gym_data!C:C, A77)</f>
        <v>2</v>
      </c>
      <c r="G77">
        <f>SUMIF(Gym_data!C:C, A77, Gym_data!E:E)</f>
        <v>2000</v>
      </c>
      <c r="H77">
        <f>IF(E77&lt;=30,5,IF(E77&lt;=60,4,IF(E77&lt;=90,3,IF(E77&lt;=120,2,1))))</f>
        <v>4</v>
      </c>
      <c r="I77">
        <f>IF(F77&gt;=5,5, IF(F77&gt;=4,4,IF(F77&gt;=3,3,IF(F77&gt;=2,2,1))))</f>
        <v>2</v>
      </c>
      <c r="J77">
        <f>IF(G77&gt;=5000,5,IF(G77&gt;=4000,4,IF(G77&gt;=3000,3,IF(G77&gt;=2000,2,1))))</f>
        <v>2</v>
      </c>
      <c r="K77" t="str">
        <f>H77&amp;I77&amp;J77</f>
        <v>422</v>
      </c>
      <c r="L77" t="str">
        <f>IF(AND(H77&gt;=4,I77&gt;=4,J77&gt;=4),"Champion",IF(AND(H77&gt;=3,I77&gt;=3,J77&gt;=3),"Loyal",IF(AND(H77&gt;=4,I77&lt;=2),"At Risk","Churn Risk")))</f>
        <v>At Risk</v>
      </c>
      <c r="M77" t="str" cm="1">
        <f t="array" ref="M77">_xlfn.XLOOKUP(1,(Gym_data!$C:$C=$A77)*(Gym_data!$B:$B=$B77),Gym_data!$F:$F)</f>
        <v>Monthly</v>
      </c>
    </row>
    <row r="78" spans="1:13" x14ac:dyDescent="0.3">
      <c r="A78" t="s">
        <v>374</v>
      </c>
      <c r="B78" s="2">
        <f>_xlfn.MAXIFS(Gym_data!$B:$B,Gym_data!$C:$C,$A78)</f>
        <v>45849</v>
      </c>
      <c r="C78" s="2">
        <f>IF(M78="Monthly",B78+30,IF(M78="3 Months",B78+90,
 IF(M78="6 Months",B78+180,
 IF(M78="Yearly",B78+365,"Check Plan"))))</f>
        <v>45879</v>
      </c>
      <c r="D78" t="str">
        <f>IF($O$4&lt;=C78,"Active",IF($O$4-C78&lt;=30,"At Risk","Churn Risk"))</f>
        <v>At Risk</v>
      </c>
      <c r="E78">
        <f xml:space="preserve"> $O$4 - B78</f>
        <v>51</v>
      </c>
      <c r="F78">
        <f>COUNTIF(Gym_data!C:C, A78)</f>
        <v>2</v>
      </c>
      <c r="G78">
        <f>SUMIF(Gym_data!C:C, A78, Gym_data!E:E)</f>
        <v>2000</v>
      </c>
      <c r="H78">
        <f>IF(E78&lt;=30,5,IF(E78&lt;=60,4,IF(E78&lt;=90,3,IF(E78&lt;=120,2,1))))</f>
        <v>4</v>
      </c>
      <c r="I78">
        <f>IF(F78&gt;=5,5, IF(F78&gt;=4,4,IF(F78&gt;=3,3,IF(F78&gt;=2,2,1))))</f>
        <v>2</v>
      </c>
      <c r="J78">
        <f>IF(G78&gt;=5000,5,IF(G78&gt;=4000,4,IF(G78&gt;=3000,3,IF(G78&gt;=2000,2,1))))</f>
        <v>2</v>
      </c>
      <c r="K78" t="str">
        <f>H78&amp;I78&amp;J78</f>
        <v>422</v>
      </c>
      <c r="L78" t="str">
        <f>IF(AND(H78&gt;=4,I78&gt;=4,J78&gt;=4),"Champion",IF(AND(H78&gt;=3,I78&gt;=3,J78&gt;=3),"Loyal",IF(AND(H78&gt;=4,I78&lt;=2),"At Risk","Churn Risk")))</f>
        <v>At Risk</v>
      </c>
      <c r="M78" t="str" cm="1">
        <f t="array" ref="M78">_xlfn.XLOOKUP(1,(Gym_data!$C:$C=$A78)*(Gym_data!$B:$B=$B78),Gym_data!$F:$F)</f>
        <v>Monthly</v>
      </c>
    </row>
    <row r="79" spans="1:13" x14ac:dyDescent="0.3">
      <c r="A79" t="s">
        <v>381</v>
      </c>
      <c r="B79" s="2">
        <f>_xlfn.MAXIFS(Gym_data!$B:$B,Gym_data!$C:$C,$A79)</f>
        <v>45849</v>
      </c>
      <c r="C79" s="2">
        <f>IF(M79="Monthly",B79+30,IF(M79="3 Months",B79+90,
 IF(M79="6 Months",B79+180,
 IF(M79="Yearly",B79+365,"Check Plan"))))</f>
        <v>45879</v>
      </c>
      <c r="D79" t="str">
        <f>IF($O$4&lt;=C79,"Active",IF($O$4-C79&lt;=30,"At Risk","Churn Risk"))</f>
        <v>At Risk</v>
      </c>
      <c r="E79">
        <f xml:space="preserve"> $O$4 - B79</f>
        <v>51</v>
      </c>
      <c r="F79">
        <f>COUNTIF(Gym_data!C:C, A79)</f>
        <v>2</v>
      </c>
      <c r="G79">
        <f>SUMIF(Gym_data!C:C, A79, Gym_data!E:E)</f>
        <v>2000</v>
      </c>
      <c r="H79">
        <f>IF(E79&lt;=30,5,IF(E79&lt;=60,4,IF(E79&lt;=90,3,IF(E79&lt;=120,2,1))))</f>
        <v>4</v>
      </c>
      <c r="I79">
        <f>IF(F79&gt;=5,5, IF(F79&gt;=4,4,IF(F79&gt;=3,3,IF(F79&gt;=2,2,1))))</f>
        <v>2</v>
      </c>
      <c r="J79">
        <f>IF(G79&gt;=5000,5,IF(G79&gt;=4000,4,IF(G79&gt;=3000,3,IF(G79&gt;=2000,2,1))))</f>
        <v>2</v>
      </c>
      <c r="K79" t="str">
        <f>H79&amp;I79&amp;J79</f>
        <v>422</v>
      </c>
      <c r="L79" t="str">
        <f>IF(AND(H79&gt;=4,I79&gt;=4,J79&gt;=4),"Champion",IF(AND(H79&gt;=3,I79&gt;=3,J79&gt;=3),"Loyal",IF(AND(H79&gt;=4,I79&lt;=2),"At Risk","Churn Risk")))</f>
        <v>At Risk</v>
      </c>
      <c r="M79" t="str" cm="1">
        <f t="array" ref="M79">_xlfn.XLOOKUP(1,(Gym_data!$C:$C=$A79)*(Gym_data!$B:$B=$B79),Gym_data!$F:$F)</f>
        <v>Monthly</v>
      </c>
    </row>
    <row r="80" spans="1:13" x14ac:dyDescent="0.3">
      <c r="A80" t="s">
        <v>399</v>
      </c>
      <c r="B80" s="2">
        <f>_xlfn.MAXIFS(Gym_data!$B:$B,Gym_data!$C:$C,$A80)</f>
        <v>45840</v>
      </c>
      <c r="C80" s="2">
        <f>IF(M80="Monthly",B80+30,IF(M80="3 Months",B80+90,
 IF(M80="6 Months",B80+180,
 IF(M80="Yearly",B80+365,"Check Plan"))))</f>
        <v>45870</v>
      </c>
      <c r="D80" t="str">
        <f>IF($O$4&lt;=C80,"Active",IF($O$4-C80&lt;=30,"At Risk","Churn Risk"))</f>
        <v>At Risk</v>
      </c>
      <c r="E80">
        <f xml:space="preserve"> $O$4 - B80</f>
        <v>60</v>
      </c>
      <c r="F80">
        <f>COUNTIF(Gym_data!C:C, A80)</f>
        <v>2</v>
      </c>
      <c r="G80">
        <f>SUMIF(Gym_data!C:C, A80, Gym_data!E:E)</f>
        <v>2000</v>
      </c>
      <c r="H80">
        <f>IF(E80&lt;=30,5,IF(E80&lt;=60,4,IF(E80&lt;=90,3,IF(E80&lt;=120,2,1))))</f>
        <v>4</v>
      </c>
      <c r="I80">
        <f>IF(F80&gt;=5,5, IF(F80&gt;=4,4,IF(F80&gt;=3,3,IF(F80&gt;=2,2,1))))</f>
        <v>2</v>
      </c>
      <c r="J80">
        <f>IF(G80&gt;=5000,5,IF(G80&gt;=4000,4,IF(G80&gt;=3000,3,IF(G80&gt;=2000,2,1))))</f>
        <v>2</v>
      </c>
      <c r="K80" t="str">
        <f>H80&amp;I80&amp;J80</f>
        <v>422</v>
      </c>
      <c r="L80" t="str">
        <f>IF(AND(H80&gt;=4,I80&gt;=4,J80&gt;=4),"Champion",IF(AND(H80&gt;=3,I80&gt;=3,J80&gt;=3),"Loyal",IF(AND(H80&gt;=4,I80&lt;=2),"At Risk","Churn Risk")))</f>
        <v>At Risk</v>
      </c>
      <c r="M80" t="str" cm="1">
        <f t="array" ref="M80">_xlfn.XLOOKUP(1,(Gym_data!$C:$C=$A80)*(Gym_data!$B:$B=$B80),Gym_data!$F:$F)</f>
        <v>Monthly</v>
      </c>
    </row>
    <row r="81" spans="1:13" x14ac:dyDescent="0.3">
      <c r="A81" t="s">
        <v>269</v>
      </c>
      <c r="B81" s="2">
        <f>_xlfn.MAXIFS(Gym_data!$B:$B,Gym_data!$C:$C,$A81)</f>
        <v>45869</v>
      </c>
      <c r="C81" s="2">
        <f>IF(M81="Monthly",B81+30,IF(M81="3 Months",B81+90,
 IF(M81="6 Months",B81+180,
 IF(M81="Yearly",B81+365,"Check Plan"))))</f>
        <v>45899</v>
      </c>
      <c r="D81" t="str">
        <f>IF($O$4&lt;=C81,"Active",IF($O$4-C81&lt;=30,"At Risk","Churn Risk"))</f>
        <v>At Risk</v>
      </c>
      <c r="E81">
        <f xml:space="preserve"> $O$4 - B81</f>
        <v>31</v>
      </c>
      <c r="F81">
        <f>COUNTIF(Gym_data!C:C, A81)</f>
        <v>2</v>
      </c>
      <c r="G81">
        <f>SUMIF(Gym_data!C:C, A81, Gym_data!E:E)</f>
        <v>1500</v>
      </c>
      <c r="H81">
        <f>IF(E81&lt;=30,5,IF(E81&lt;=60,4,IF(E81&lt;=90,3,IF(E81&lt;=120,2,1))))</f>
        <v>4</v>
      </c>
      <c r="I81">
        <f>IF(F81&gt;=5,5, IF(F81&gt;=4,4,IF(F81&gt;=3,3,IF(F81&gt;=2,2,1))))</f>
        <v>2</v>
      </c>
      <c r="J81">
        <f>IF(G81&gt;=5000,5,IF(G81&gt;=4000,4,IF(G81&gt;=3000,3,IF(G81&gt;=2000,2,1))))</f>
        <v>1</v>
      </c>
      <c r="K81" t="str">
        <f>H81&amp;I81&amp;J81</f>
        <v>421</v>
      </c>
      <c r="L81" t="str">
        <f>IF(AND(H81&gt;=4,I81&gt;=4,J81&gt;=4),"Champion",IF(AND(H81&gt;=3,I81&gt;=3,J81&gt;=3),"Loyal",IF(AND(H81&gt;=4,I81&lt;=2),"At Risk","Churn Risk")))</f>
        <v>At Risk</v>
      </c>
      <c r="M81" t="str" cm="1">
        <f t="array" ref="M81">_xlfn.XLOOKUP(1,(Gym_data!$C:$C=$A81)*(Gym_data!$B:$B=$B81),Gym_data!$F:$F)</f>
        <v>Monthly</v>
      </c>
    </row>
    <row r="82" spans="1:13" x14ac:dyDescent="0.3">
      <c r="A82" t="s">
        <v>212</v>
      </c>
      <c r="B82" s="2">
        <f>_xlfn.MAXIFS(Gym_data!$B:$B,Gym_data!$C:$C,$A82)</f>
        <v>45863</v>
      </c>
      <c r="C82" s="2">
        <f>IF(M82="Monthly",B82+30,IF(M82="3 Months",B82+90,
 IF(M82="6 Months",B82+180,
 IF(M82="Yearly",B82+365,"Check Plan"))))</f>
        <v>45953</v>
      </c>
      <c r="D82" t="str">
        <f>IF($O$4&lt;=C82,"Active",IF($O$4-C82&lt;=30,"At Risk","Churn Risk"))</f>
        <v>Active</v>
      </c>
      <c r="E82">
        <f xml:space="preserve"> $O$4 - B82</f>
        <v>37</v>
      </c>
      <c r="F82">
        <f>COUNTIF(Gym_data!C:C, A82)</f>
        <v>1</v>
      </c>
      <c r="G82">
        <f>SUMIF(Gym_data!C:C, A82, Gym_data!E:E)</f>
        <v>4000</v>
      </c>
      <c r="H82">
        <f>IF(E82&lt;=30,5,IF(E82&lt;=60,4,IF(E82&lt;=90,3,IF(E82&lt;=120,2,1))))</f>
        <v>4</v>
      </c>
      <c r="I82">
        <f>IF(F82&gt;=5,5, IF(F82&gt;=4,4,IF(F82&gt;=3,3,IF(F82&gt;=2,2,1))))</f>
        <v>1</v>
      </c>
      <c r="J82">
        <f>IF(G82&gt;=5000,5,IF(G82&gt;=4000,4,IF(G82&gt;=3000,3,IF(G82&gt;=2000,2,1))))</f>
        <v>4</v>
      </c>
      <c r="K82" t="str">
        <f>H82&amp;I82&amp;J82</f>
        <v>414</v>
      </c>
      <c r="L82" t="str">
        <f>IF(AND(H82&gt;=4,I82&gt;=4,J82&gt;=4),"Champion",IF(AND(H82&gt;=3,I82&gt;=3,J82&gt;=3),"Loyal",IF(AND(H82&gt;=4,I82&lt;=2),"At Risk","Churn Risk")))</f>
        <v>At Risk</v>
      </c>
      <c r="M82" t="str" cm="1">
        <f t="array" ref="M82">_xlfn.XLOOKUP(1,(Gym_data!$C:$C=$A82)*(Gym_data!$B:$B=$B82),Gym_data!$F:$F)</f>
        <v>3 Months</v>
      </c>
    </row>
    <row r="83" spans="1:13" x14ac:dyDescent="0.3">
      <c r="A83" t="s">
        <v>356</v>
      </c>
      <c r="B83" s="2">
        <f>_xlfn.MAXIFS(Gym_data!$B:$B,Gym_data!$C:$C,$A83)</f>
        <v>45843</v>
      </c>
      <c r="C83" s="2">
        <f>IF(M83="Monthly",B83+30,IF(M83="3 Months",B83+90,
 IF(M83="6 Months",B83+180,
 IF(M83="Yearly",B83+365,"Check Plan"))))</f>
        <v>45933</v>
      </c>
      <c r="D83" t="str">
        <f>IF($O$4&lt;=C83,"Active",IF($O$4-C83&lt;=30,"At Risk","Churn Risk"))</f>
        <v>Active</v>
      </c>
      <c r="E83">
        <f xml:space="preserve"> $O$4 - B83</f>
        <v>57</v>
      </c>
      <c r="F83">
        <f>COUNTIF(Gym_data!C:C, A83)</f>
        <v>1</v>
      </c>
      <c r="G83">
        <f>SUMIF(Gym_data!C:C, A83, Gym_data!E:E)</f>
        <v>3000</v>
      </c>
      <c r="H83">
        <f>IF(E83&lt;=30,5,IF(E83&lt;=60,4,IF(E83&lt;=90,3,IF(E83&lt;=120,2,1))))</f>
        <v>4</v>
      </c>
      <c r="I83">
        <f>IF(F83&gt;=5,5, IF(F83&gt;=4,4,IF(F83&gt;=3,3,IF(F83&gt;=2,2,1))))</f>
        <v>1</v>
      </c>
      <c r="J83">
        <f>IF(G83&gt;=5000,5,IF(G83&gt;=4000,4,IF(G83&gt;=3000,3,IF(G83&gt;=2000,2,1))))</f>
        <v>3</v>
      </c>
      <c r="K83" t="str">
        <f>H83&amp;I83&amp;J83</f>
        <v>413</v>
      </c>
      <c r="L83" t="str">
        <f>IF(AND(H83&gt;=4,I83&gt;=4,J83&gt;=4),"Champion",IF(AND(H83&gt;=3,I83&gt;=3,J83&gt;=3),"Loyal",IF(AND(H83&gt;=4,I83&lt;=2),"At Risk","Churn Risk")))</f>
        <v>At Risk</v>
      </c>
      <c r="M83" t="str" cm="1">
        <f t="array" ref="M83">_xlfn.XLOOKUP(1,(Gym_data!$C:$C=$A83)*(Gym_data!$B:$B=$B83),Gym_data!$F:$F)</f>
        <v>3 Months</v>
      </c>
    </row>
    <row r="84" spans="1:13" x14ac:dyDescent="0.3">
      <c r="A84" t="s">
        <v>265</v>
      </c>
      <c r="B84" s="2">
        <f>_xlfn.MAXIFS(Gym_data!$B:$B,Gym_data!$C:$C,$A84)</f>
        <v>45842</v>
      </c>
      <c r="C84" s="2">
        <f>IF(M84="Monthly",B84+30,IF(M84="3 Months",B84+90,
 IF(M84="6 Months",B84+180,
 IF(M84="Yearly",B84+365,"Check Plan"))))</f>
        <v>45932</v>
      </c>
      <c r="D84" t="str">
        <f>IF($O$4&lt;=C84,"Active",IF($O$4-C84&lt;=30,"At Risk","Churn Risk"))</f>
        <v>Active</v>
      </c>
      <c r="E84">
        <f xml:space="preserve"> $O$4 - B84</f>
        <v>58</v>
      </c>
      <c r="F84">
        <f>COUNTIF(Gym_data!C:C, A84)</f>
        <v>1</v>
      </c>
      <c r="G84">
        <f>SUMIF(Gym_data!C:C, A84, Gym_data!E:E)</f>
        <v>2400</v>
      </c>
      <c r="H84">
        <f>IF(E84&lt;=30,5,IF(E84&lt;=60,4,IF(E84&lt;=90,3,IF(E84&lt;=120,2,1))))</f>
        <v>4</v>
      </c>
      <c r="I84">
        <f>IF(F84&gt;=5,5, IF(F84&gt;=4,4,IF(F84&gt;=3,3,IF(F84&gt;=2,2,1))))</f>
        <v>1</v>
      </c>
      <c r="J84">
        <f>IF(G84&gt;=5000,5,IF(G84&gt;=4000,4,IF(G84&gt;=3000,3,IF(G84&gt;=2000,2,1))))</f>
        <v>2</v>
      </c>
      <c r="K84" t="str">
        <f>H84&amp;I84&amp;J84</f>
        <v>412</v>
      </c>
      <c r="L84" t="str">
        <f>IF(AND(H84&gt;=4,I84&gt;=4,J84&gt;=4),"Champion",IF(AND(H84&gt;=3,I84&gt;=3,J84&gt;=3),"Loyal",IF(AND(H84&gt;=4,I84&lt;=2),"At Risk","Churn Risk")))</f>
        <v>At Risk</v>
      </c>
      <c r="M84" t="str" cm="1">
        <f t="array" ref="M84">_xlfn.XLOOKUP(1,(Gym_data!$C:$C=$A84)*(Gym_data!$B:$B=$B84),Gym_data!$F:$F)</f>
        <v>3 Months</v>
      </c>
    </row>
    <row r="85" spans="1:13" x14ac:dyDescent="0.3">
      <c r="A85" t="s">
        <v>327</v>
      </c>
      <c r="B85" s="2">
        <f>_xlfn.MAXIFS(Gym_data!$B:$B,Gym_data!$C:$C,$A85)</f>
        <v>45859</v>
      </c>
      <c r="C85" s="2">
        <f>IF(M85="Monthly",B85+30,IF(M85="3 Months",B85+90,
 IF(M85="6 Months",B85+180,
 IF(M85="Yearly",B85+365,"Check Plan"))))</f>
        <v>45949</v>
      </c>
      <c r="D85" t="str">
        <f>IF($O$4&lt;=C85,"Active",IF($O$4-C85&lt;=30,"At Risk","Churn Risk"))</f>
        <v>Active</v>
      </c>
      <c r="E85">
        <f xml:space="preserve"> $O$4 - B85</f>
        <v>41</v>
      </c>
      <c r="F85">
        <f>COUNTIF(Gym_data!C:C, A85)</f>
        <v>1</v>
      </c>
      <c r="G85">
        <f>SUMIF(Gym_data!C:C, A85, Gym_data!E:E)</f>
        <v>2400</v>
      </c>
      <c r="H85">
        <f>IF(E85&lt;=30,5,IF(E85&lt;=60,4,IF(E85&lt;=90,3,IF(E85&lt;=120,2,1))))</f>
        <v>4</v>
      </c>
      <c r="I85">
        <f>IF(F85&gt;=5,5, IF(F85&gt;=4,4,IF(F85&gt;=3,3,IF(F85&gt;=2,2,1))))</f>
        <v>1</v>
      </c>
      <c r="J85">
        <f>IF(G85&gt;=5000,5,IF(G85&gt;=4000,4,IF(G85&gt;=3000,3,IF(G85&gt;=2000,2,1))))</f>
        <v>2</v>
      </c>
      <c r="K85" t="str">
        <f>H85&amp;I85&amp;J85</f>
        <v>412</v>
      </c>
      <c r="L85" t="str">
        <f>IF(AND(H85&gt;=4,I85&gt;=4,J85&gt;=4),"Champion",IF(AND(H85&gt;=3,I85&gt;=3,J85&gt;=3),"Loyal",IF(AND(H85&gt;=4,I85&lt;=2),"At Risk","Churn Risk")))</f>
        <v>At Risk</v>
      </c>
      <c r="M85" t="str" cm="1">
        <f t="array" ref="M85">_xlfn.XLOOKUP(1,(Gym_data!$C:$C=$A85)*(Gym_data!$B:$B=$B85),Gym_data!$F:$F)</f>
        <v>3 Months</v>
      </c>
    </row>
    <row r="86" spans="1:13" x14ac:dyDescent="0.3">
      <c r="A86" t="s">
        <v>366</v>
      </c>
      <c r="B86" s="2">
        <f>_xlfn.MAXIFS(Gym_data!$B:$B,Gym_data!$C:$C,$A86)</f>
        <v>45855</v>
      </c>
      <c r="C86" s="2">
        <f>IF(M86="Monthly",B86+30,IF(M86="3 Months",B86+90,
 IF(M86="6 Months",B86+180,
 IF(M86="Yearly",B86+365,"Check Plan"))))</f>
        <v>45885</v>
      </c>
      <c r="D86" t="str">
        <f>IF($O$4&lt;=C86,"Active",IF($O$4-C86&lt;=30,"At Risk","Churn Risk"))</f>
        <v>At Risk</v>
      </c>
      <c r="E86">
        <f xml:space="preserve"> $O$4 - B86</f>
        <v>45</v>
      </c>
      <c r="F86">
        <f>COUNTIF(Gym_data!C:C, A86)</f>
        <v>1</v>
      </c>
      <c r="G86">
        <f>SUMIF(Gym_data!C:C, A86, Gym_data!E:E)</f>
        <v>2000</v>
      </c>
      <c r="H86">
        <f>IF(E86&lt;=30,5,IF(E86&lt;=60,4,IF(E86&lt;=90,3,IF(E86&lt;=120,2,1))))</f>
        <v>4</v>
      </c>
      <c r="I86">
        <f>IF(F86&gt;=5,5, IF(F86&gt;=4,4,IF(F86&gt;=3,3,IF(F86&gt;=2,2,1))))</f>
        <v>1</v>
      </c>
      <c r="J86">
        <f>IF(G86&gt;=5000,5,IF(G86&gt;=4000,4,IF(G86&gt;=3000,3,IF(G86&gt;=2000,2,1))))</f>
        <v>2</v>
      </c>
      <c r="K86" t="str">
        <f>H86&amp;I86&amp;J86</f>
        <v>412</v>
      </c>
      <c r="L86" t="str">
        <f>IF(AND(H86&gt;=4,I86&gt;=4,J86&gt;=4),"Champion",IF(AND(H86&gt;=3,I86&gt;=3,J86&gt;=3),"Loyal",IF(AND(H86&gt;=4,I86&lt;=2),"At Risk","Churn Risk")))</f>
        <v>At Risk</v>
      </c>
      <c r="M86" t="str" cm="1">
        <f t="array" ref="M86">_xlfn.XLOOKUP(1,(Gym_data!$C:$C=$A86)*(Gym_data!$B:$B=$B86),Gym_data!$F:$F)</f>
        <v>Monthly</v>
      </c>
    </row>
    <row r="87" spans="1:13" x14ac:dyDescent="0.3">
      <c r="A87" t="s">
        <v>210</v>
      </c>
      <c r="B87" s="2">
        <f>_xlfn.MAXIFS(Gym_data!$B:$B,Gym_data!$C:$C,$A87)</f>
        <v>45842</v>
      </c>
      <c r="C87" s="2">
        <f>IF(M87="Monthly",B87+30,IF(M87="3 Months",B87+90,
 IF(M87="6 Months",B87+180,
 IF(M87="Yearly",B87+365,"Check Plan"))))</f>
        <v>45872</v>
      </c>
      <c r="D87" t="str">
        <f>IF($O$4&lt;=C87,"Active",IF($O$4-C87&lt;=30,"At Risk","Churn Risk"))</f>
        <v>At Risk</v>
      </c>
      <c r="E87">
        <f xml:space="preserve"> $O$4 - B87</f>
        <v>58</v>
      </c>
      <c r="F87">
        <f>COUNTIF(Gym_data!C:C, A87)</f>
        <v>1</v>
      </c>
      <c r="G87">
        <f>SUMIF(Gym_data!C:C, A87, Gym_data!E:E)</f>
        <v>1000</v>
      </c>
      <c r="H87">
        <f>IF(E87&lt;=30,5,IF(E87&lt;=60,4,IF(E87&lt;=90,3,IF(E87&lt;=120,2,1))))</f>
        <v>4</v>
      </c>
      <c r="I87">
        <f>IF(F87&gt;=5,5, IF(F87&gt;=4,4,IF(F87&gt;=3,3,IF(F87&gt;=2,2,1))))</f>
        <v>1</v>
      </c>
      <c r="J87">
        <f>IF(G87&gt;=5000,5,IF(G87&gt;=4000,4,IF(G87&gt;=3000,3,IF(G87&gt;=2000,2,1))))</f>
        <v>1</v>
      </c>
      <c r="K87" t="str">
        <f>H87&amp;I87&amp;J87</f>
        <v>411</v>
      </c>
      <c r="L87" t="str">
        <f>IF(AND(H87&gt;=4,I87&gt;=4,J87&gt;=4),"Champion",IF(AND(H87&gt;=3,I87&gt;=3,J87&gt;=3),"Loyal",IF(AND(H87&gt;=4,I87&lt;=2),"At Risk","Churn Risk")))</f>
        <v>At Risk</v>
      </c>
      <c r="M87" t="str" cm="1">
        <f t="array" ref="M87">_xlfn.XLOOKUP(1,(Gym_data!$C:$C=$A87)*(Gym_data!$B:$B=$B87),Gym_data!$F:$F)</f>
        <v>Monthly</v>
      </c>
    </row>
    <row r="88" spans="1:13" x14ac:dyDescent="0.3">
      <c r="A88" t="s">
        <v>230</v>
      </c>
      <c r="B88" s="2">
        <f>_xlfn.MAXIFS(Gym_data!$B:$B,Gym_data!$C:$C,$A88)</f>
        <v>45861</v>
      </c>
      <c r="C88" s="2">
        <f>IF(M88="Monthly",B88+30,IF(M88="3 Months",B88+90,
 IF(M88="6 Months",B88+180,
 IF(M88="Yearly",B88+365,"Check Plan"))))</f>
        <v>45891</v>
      </c>
      <c r="D88" t="str">
        <f>IF($O$4&lt;=C88,"Active",IF($O$4-C88&lt;=30,"At Risk","Churn Risk"))</f>
        <v>At Risk</v>
      </c>
      <c r="E88">
        <f xml:space="preserve"> $O$4 - B88</f>
        <v>39</v>
      </c>
      <c r="F88">
        <f>COUNTIF(Gym_data!C:C, A88)</f>
        <v>1</v>
      </c>
      <c r="G88">
        <f>SUMIF(Gym_data!C:C, A88, Gym_data!E:E)</f>
        <v>1000</v>
      </c>
      <c r="H88">
        <f>IF(E88&lt;=30,5,IF(E88&lt;=60,4,IF(E88&lt;=90,3,IF(E88&lt;=120,2,1))))</f>
        <v>4</v>
      </c>
      <c r="I88">
        <f>IF(F88&gt;=5,5, IF(F88&gt;=4,4,IF(F88&gt;=3,3,IF(F88&gt;=2,2,1))))</f>
        <v>1</v>
      </c>
      <c r="J88">
        <f>IF(G88&gt;=5000,5,IF(G88&gt;=4000,4,IF(G88&gt;=3000,3,IF(G88&gt;=2000,2,1))))</f>
        <v>1</v>
      </c>
      <c r="K88" t="str">
        <f>H88&amp;I88&amp;J88</f>
        <v>411</v>
      </c>
      <c r="L88" t="str">
        <f>IF(AND(H88&gt;=4,I88&gt;=4,J88&gt;=4),"Champion",IF(AND(H88&gt;=3,I88&gt;=3,J88&gt;=3),"Loyal",IF(AND(H88&gt;=4,I88&lt;=2),"At Risk","Churn Risk")))</f>
        <v>At Risk</v>
      </c>
      <c r="M88" t="str" cm="1">
        <f t="array" ref="M88">_xlfn.XLOOKUP(1,(Gym_data!$C:$C=$A88)*(Gym_data!$B:$B=$B88),Gym_data!$F:$F)</f>
        <v>Monthly</v>
      </c>
    </row>
    <row r="89" spans="1:13" x14ac:dyDescent="0.3">
      <c r="A89" t="s">
        <v>244</v>
      </c>
      <c r="B89" s="2">
        <f>_xlfn.MAXIFS(Gym_data!$B:$B,Gym_data!$C:$C,$A89)</f>
        <v>45868</v>
      </c>
      <c r="C89" s="2">
        <f>IF(M89="Monthly",B89+30,IF(M89="3 Months",B89+90,
 IF(M89="6 Months",B89+180,
 IF(M89="Yearly",B89+365,"Check Plan"))))</f>
        <v>45898</v>
      </c>
      <c r="D89" t="str">
        <f>IF($O$4&lt;=C89,"Active",IF($O$4-C89&lt;=30,"At Risk","Churn Risk"))</f>
        <v>At Risk</v>
      </c>
      <c r="E89">
        <f xml:space="preserve"> $O$4 - B89</f>
        <v>32</v>
      </c>
      <c r="F89">
        <f>COUNTIF(Gym_data!C:C, A89)</f>
        <v>1</v>
      </c>
      <c r="G89">
        <f>SUMIF(Gym_data!C:C, A89, Gym_data!E:E)</f>
        <v>1000</v>
      </c>
      <c r="H89">
        <f>IF(E89&lt;=30,5,IF(E89&lt;=60,4,IF(E89&lt;=90,3,IF(E89&lt;=120,2,1))))</f>
        <v>4</v>
      </c>
      <c r="I89">
        <f>IF(F89&gt;=5,5, IF(F89&gt;=4,4,IF(F89&gt;=3,3,IF(F89&gt;=2,2,1))))</f>
        <v>1</v>
      </c>
      <c r="J89">
        <f>IF(G89&gt;=5000,5,IF(G89&gt;=4000,4,IF(G89&gt;=3000,3,IF(G89&gt;=2000,2,1))))</f>
        <v>1</v>
      </c>
      <c r="K89" t="str">
        <f>H89&amp;I89&amp;J89</f>
        <v>411</v>
      </c>
      <c r="L89" t="str">
        <f>IF(AND(H89&gt;=4,I89&gt;=4,J89&gt;=4),"Champion",IF(AND(H89&gt;=3,I89&gt;=3,J89&gt;=3),"Loyal",IF(AND(H89&gt;=4,I89&lt;=2),"At Risk","Churn Risk")))</f>
        <v>At Risk</v>
      </c>
      <c r="M89" t="str" cm="1">
        <f t="array" ref="M89">_xlfn.XLOOKUP(1,(Gym_data!$C:$C=$A89)*(Gym_data!$B:$B=$B89),Gym_data!$F:$F)</f>
        <v>Monthly</v>
      </c>
    </row>
    <row r="90" spans="1:13" x14ac:dyDescent="0.3">
      <c r="A90" t="s">
        <v>251</v>
      </c>
      <c r="B90" s="2">
        <f>_xlfn.MAXIFS(Gym_data!$B:$B,Gym_data!$C:$C,$A90)</f>
        <v>45852</v>
      </c>
      <c r="C90" s="2">
        <f>IF(M90="Monthly",B90+30,IF(M90="3 Months",B90+90,
 IF(M90="6 Months",B90+180,
 IF(M90="Yearly",B90+365,"Check Plan"))))</f>
        <v>45882</v>
      </c>
      <c r="D90" t="str">
        <f>IF($O$4&lt;=C90,"Active",IF($O$4-C90&lt;=30,"At Risk","Churn Risk"))</f>
        <v>At Risk</v>
      </c>
      <c r="E90">
        <f xml:space="preserve"> $O$4 - B90</f>
        <v>48</v>
      </c>
      <c r="F90">
        <f>COUNTIF(Gym_data!C:C, A90)</f>
        <v>1</v>
      </c>
      <c r="G90">
        <f>SUMIF(Gym_data!C:C, A90, Gym_data!E:E)</f>
        <v>1000</v>
      </c>
      <c r="H90">
        <f>IF(E90&lt;=30,5,IF(E90&lt;=60,4,IF(E90&lt;=90,3,IF(E90&lt;=120,2,1))))</f>
        <v>4</v>
      </c>
      <c r="I90">
        <f>IF(F90&gt;=5,5, IF(F90&gt;=4,4,IF(F90&gt;=3,3,IF(F90&gt;=2,2,1))))</f>
        <v>1</v>
      </c>
      <c r="J90">
        <f>IF(G90&gt;=5000,5,IF(G90&gt;=4000,4,IF(G90&gt;=3000,3,IF(G90&gt;=2000,2,1))))</f>
        <v>1</v>
      </c>
      <c r="K90" t="str">
        <f>H90&amp;I90&amp;J90</f>
        <v>411</v>
      </c>
      <c r="L90" t="str">
        <f>IF(AND(H90&gt;=4,I90&gt;=4,J90&gt;=4),"Champion",IF(AND(H90&gt;=3,I90&gt;=3,J90&gt;=3),"Loyal",IF(AND(H90&gt;=4,I90&lt;=2),"At Risk","Churn Risk")))</f>
        <v>At Risk</v>
      </c>
      <c r="M90" t="str" cm="1">
        <f t="array" ref="M90">_xlfn.XLOOKUP(1,(Gym_data!$C:$C=$A90)*(Gym_data!$B:$B=$B90),Gym_data!$F:$F)</f>
        <v>Monthly</v>
      </c>
    </row>
    <row r="91" spans="1:13" x14ac:dyDescent="0.3">
      <c r="A91" t="s">
        <v>287</v>
      </c>
      <c r="B91" s="2">
        <f>_xlfn.MAXIFS(Gym_data!$B:$B,Gym_data!$C:$C,$A91)</f>
        <v>45847</v>
      </c>
      <c r="C91" s="2">
        <f>IF(M91="Monthly",B91+30,IF(M91="3 Months",B91+90,
 IF(M91="6 Months",B91+180,
 IF(M91="Yearly",B91+365,"Check Plan"))))</f>
        <v>45877</v>
      </c>
      <c r="D91" t="str">
        <f>IF($O$4&lt;=C91,"Active",IF($O$4-C91&lt;=30,"At Risk","Churn Risk"))</f>
        <v>At Risk</v>
      </c>
      <c r="E91">
        <f xml:space="preserve"> $O$4 - B91</f>
        <v>53</v>
      </c>
      <c r="F91">
        <f>COUNTIF(Gym_data!C:C, A91)</f>
        <v>1</v>
      </c>
      <c r="G91">
        <f>SUMIF(Gym_data!C:C, A91, Gym_data!E:E)</f>
        <v>1500</v>
      </c>
      <c r="H91">
        <f>IF(E91&lt;=30,5,IF(E91&lt;=60,4,IF(E91&lt;=90,3,IF(E91&lt;=120,2,1))))</f>
        <v>4</v>
      </c>
      <c r="I91">
        <f>IF(F91&gt;=5,5, IF(F91&gt;=4,4,IF(F91&gt;=3,3,IF(F91&gt;=2,2,1))))</f>
        <v>1</v>
      </c>
      <c r="J91">
        <f>IF(G91&gt;=5000,5,IF(G91&gt;=4000,4,IF(G91&gt;=3000,3,IF(G91&gt;=2000,2,1))))</f>
        <v>1</v>
      </c>
      <c r="K91" t="str">
        <f>H91&amp;I91&amp;J91</f>
        <v>411</v>
      </c>
      <c r="L91" t="str">
        <f>IF(AND(H91&gt;=4,I91&gt;=4,J91&gt;=4),"Champion",IF(AND(H91&gt;=3,I91&gt;=3,J91&gt;=3),"Loyal",IF(AND(H91&gt;=4,I91&lt;=2),"At Risk","Churn Risk")))</f>
        <v>At Risk</v>
      </c>
      <c r="M91" t="str" cm="1">
        <f t="array" ref="M91">_xlfn.XLOOKUP(1,(Gym_data!$C:$C=$A91)*(Gym_data!$B:$B=$B91),Gym_data!$F:$F)</f>
        <v>Monthly</v>
      </c>
    </row>
    <row r="92" spans="1:13" x14ac:dyDescent="0.3">
      <c r="A92" t="s">
        <v>304</v>
      </c>
      <c r="B92" s="2">
        <f>_xlfn.MAXIFS(Gym_data!$B:$B,Gym_data!$C:$C,$A92)</f>
        <v>45845</v>
      </c>
      <c r="C92" s="2">
        <f>IF(M92="Monthly",B92+30,IF(M92="3 Months",B92+90,
 IF(M92="6 Months",B92+180,
 IF(M92="Yearly",B92+365,"Check Plan"))))</f>
        <v>45875</v>
      </c>
      <c r="D92" t="str">
        <f>IF($O$4&lt;=C92,"Active",IF($O$4-C92&lt;=30,"At Risk","Churn Risk"))</f>
        <v>At Risk</v>
      </c>
      <c r="E92">
        <f xml:space="preserve"> $O$4 - B92</f>
        <v>55</v>
      </c>
      <c r="F92">
        <f>COUNTIF(Gym_data!C:C, A92)</f>
        <v>1</v>
      </c>
      <c r="G92">
        <f>SUMIF(Gym_data!C:C, A92, Gym_data!E:E)</f>
        <v>1000</v>
      </c>
      <c r="H92">
        <f>IF(E92&lt;=30,5,IF(E92&lt;=60,4,IF(E92&lt;=90,3,IF(E92&lt;=120,2,1))))</f>
        <v>4</v>
      </c>
      <c r="I92">
        <f>IF(F92&gt;=5,5, IF(F92&gt;=4,4,IF(F92&gt;=3,3,IF(F92&gt;=2,2,1))))</f>
        <v>1</v>
      </c>
      <c r="J92">
        <f>IF(G92&gt;=5000,5,IF(G92&gt;=4000,4,IF(G92&gt;=3000,3,IF(G92&gt;=2000,2,1))))</f>
        <v>1</v>
      </c>
      <c r="K92" t="str">
        <f>H92&amp;I92&amp;J92</f>
        <v>411</v>
      </c>
      <c r="L92" t="str">
        <f>IF(AND(H92&gt;=4,I92&gt;=4,J92&gt;=4),"Champion",IF(AND(H92&gt;=3,I92&gt;=3,J92&gt;=3),"Loyal",IF(AND(H92&gt;=4,I92&lt;=2),"At Risk","Churn Risk")))</f>
        <v>At Risk</v>
      </c>
      <c r="M92" t="str" cm="1">
        <f t="array" ref="M92">_xlfn.XLOOKUP(1,(Gym_data!$C:$C=$A92)*(Gym_data!$B:$B=$B92),Gym_data!$F:$F)</f>
        <v>Monthly</v>
      </c>
    </row>
    <row r="93" spans="1:13" x14ac:dyDescent="0.3">
      <c r="A93" t="s">
        <v>308</v>
      </c>
      <c r="B93" s="2">
        <f>_xlfn.MAXIFS(Gym_data!$B:$B,Gym_data!$C:$C,$A93)</f>
        <v>45859</v>
      </c>
      <c r="C93" s="2">
        <f>IF(M93="Monthly",B93+30,IF(M93="3 Months",B93+90,
 IF(M93="6 Months",B93+180,
 IF(M93="Yearly",B93+365,"Check Plan"))))</f>
        <v>45889</v>
      </c>
      <c r="D93" t="str">
        <f>IF($O$4&lt;=C93,"Active",IF($O$4-C93&lt;=30,"At Risk","Churn Risk"))</f>
        <v>At Risk</v>
      </c>
      <c r="E93">
        <f xml:space="preserve"> $O$4 - B93</f>
        <v>41</v>
      </c>
      <c r="F93">
        <f>COUNTIF(Gym_data!C:C, A93)</f>
        <v>1</v>
      </c>
      <c r="G93">
        <f>SUMIF(Gym_data!C:C, A93, Gym_data!E:E)</f>
        <v>1000</v>
      </c>
      <c r="H93">
        <f>IF(E93&lt;=30,5,IF(E93&lt;=60,4,IF(E93&lt;=90,3,IF(E93&lt;=120,2,1))))</f>
        <v>4</v>
      </c>
      <c r="I93">
        <f>IF(F93&gt;=5,5, IF(F93&gt;=4,4,IF(F93&gt;=3,3,IF(F93&gt;=2,2,1))))</f>
        <v>1</v>
      </c>
      <c r="J93">
        <f>IF(G93&gt;=5000,5,IF(G93&gt;=4000,4,IF(G93&gt;=3000,3,IF(G93&gt;=2000,2,1))))</f>
        <v>1</v>
      </c>
      <c r="K93" t="str">
        <f>H93&amp;I93&amp;J93</f>
        <v>411</v>
      </c>
      <c r="L93" t="str">
        <f>IF(AND(H93&gt;=4,I93&gt;=4,J93&gt;=4),"Champion",IF(AND(H93&gt;=3,I93&gt;=3,J93&gt;=3),"Loyal",IF(AND(H93&gt;=4,I93&lt;=2),"At Risk","Churn Risk")))</f>
        <v>At Risk</v>
      </c>
      <c r="M93" t="str" cm="1">
        <f t="array" ref="M93">_xlfn.XLOOKUP(1,(Gym_data!$C:$C=$A93)*(Gym_data!$B:$B=$B93),Gym_data!$F:$F)</f>
        <v>Monthly</v>
      </c>
    </row>
    <row r="94" spans="1:13" x14ac:dyDescent="0.3">
      <c r="A94" t="s">
        <v>342</v>
      </c>
      <c r="B94" s="2">
        <f>_xlfn.MAXIFS(Gym_data!$B:$B,Gym_data!$C:$C,$A94)</f>
        <v>45845</v>
      </c>
      <c r="C94" s="2">
        <f>IF(M94="Monthly",B94+30,IF(M94="3 Months",B94+90,
 IF(M94="6 Months",B94+180,
 IF(M94="Yearly",B94+365,"Check Plan"))))</f>
        <v>45875</v>
      </c>
      <c r="D94" t="str">
        <f>IF($O$4&lt;=C94,"Active",IF($O$4-C94&lt;=30,"At Risk","Churn Risk"))</f>
        <v>At Risk</v>
      </c>
      <c r="E94">
        <f xml:space="preserve"> $O$4 - B94</f>
        <v>55</v>
      </c>
      <c r="F94">
        <f>COUNTIF(Gym_data!C:C, A94)</f>
        <v>1</v>
      </c>
      <c r="G94">
        <f>SUMIF(Gym_data!C:C, A94, Gym_data!E:E)</f>
        <v>1000</v>
      </c>
      <c r="H94">
        <f>IF(E94&lt;=30,5,IF(E94&lt;=60,4,IF(E94&lt;=90,3,IF(E94&lt;=120,2,1))))</f>
        <v>4</v>
      </c>
      <c r="I94">
        <f>IF(F94&gt;=5,5, IF(F94&gt;=4,4,IF(F94&gt;=3,3,IF(F94&gt;=2,2,1))))</f>
        <v>1</v>
      </c>
      <c r="J94">
        <f>IF(G94&gt;=5000,5,IF(G94&gt;=4000,4,IF(G94&gt;=3000,3,IF(G94&gt;=2000,2,1))))</f>
        <v>1</v>
      </c>
      <c r="K94" t="str">
        <f>H94&amp;I94&amp;J94</f>
        <v>411</v>
      </c>
      <c r="L94" t="str">
        <f>IF(AND(H94&gt;=4,I94&gt;=4,J94&gt;=4),"Champion",IF(AND(H94&gt;=3,I94&gt;=3,J94&gt;=3),"Loyal",IF(AND(H94&gt;=4,I94&lt;=2),"At Risk","Churn Risk")))</f>
        <v>At Risk</v>
      </c>
      <c r="M94" t="str" cm="1">
        <f t="array" ref="M94">_xlfn.XLOOKUP(1,(Gym_data!$C:$C=$A94)*(Gym_data!$B:$B=$B94),Gym_data!$F:$F)</f>
        <v>Monthly</v>
      </c>
    </row>
    <row r="95" spans="1:13" x14ac:dyDescent="0.3">
      <c r="A95" t="s">
        <v>344</v>
      </c>
      <c r="B95" s="2">
        <f>_xlfn.MAXIFS(Gym_data!$B:$B,Gym_data!$C:$C,$A95)</f>
        <v>45859</v>
      </c>
      <c r="C95" s="2">
        <f>IF(M95="Monthly",B95+30,IF(M95="3 Months",B95+90,
 IF(M95="6 Months",B95+180,
 IF(M95="Yearly",B95+365,"Check Plan"))))</f>
        <v>45889</v>
      </c>
      <c r="D95" t="str">
        <f>IF($O$4&lt;=C95,"Active",IF($O$4-C95&lt;=30,"At Risk","Churn Risk"))</f>
        <v>At Risk</v>
      </c>
      <c r="E95">
        <f xml:space="preserve"> $O$4 - B95</f>
        <v>41</v>
      </c>
      <c r="F95">
        <f>COUNTIF(Gym_data!C:C, A95)</f>
        <v>1</v>
      </c>
      <c r="G95">
        <f>SUMIF(Gym_data!C:C, A95, Gym_data!E:E)</f>
        <v>1000</v>
      </c>
      <c r="H95">
        <f>IF(E95&lt;=30,5,IF(E95&lt;=60,4,IF(E95&lt;=90,3,IF(E95&lt;=120,2,1))))</f>
        <v>4</v>
      </c>
      <c r="I95">
        <f>IF(F95&gt;=5,5, IF(F95&gt;=4,4,IF(F95&gt;=3,3,IF(F95&gt;=2,2,1))))</f>
        <v>1</v>
      </c>
      <c r="J95">
        <f>IF(G95&gt;=5000,5,IF(G95&gt;=4000,4,IF(G95&gt;=3000,3,IF(G95&gt;=2000,2,1))))</f>
        <v>1</v>
      </c>
      <c r="K95" t="str">
        <f>H95&amp;I95&amp;J95</f>
        <v>411</v>
      </c>
      <c r="L95" t="str">
        <f>IF(AND(H95&gt;=4,I95&gt;=4,J95&gt;=4),"Champion",IF(AND(H95&gt;=3,I95&gt;=3,J95&gt;=3),"Loyal",IF(AND(H95&gt;=4,I95&lt;=2),"At Risk","Churn Risk")))</f>
        <v>At Risk</v>
      </c>
      <c r="M95" t="str" cm="1">
        <f t="array" ref="M95">_xlfn.XLOOKUP(1,(Gym_data!$C:$C=$A95)*(Gym_data!$B:$B=$B95),Gym_data!$F:$F)</f>
        <v>Monthly</v>
      </c>
    </row>
    <row r="96" spans="1:13" x14ac:dyDescent="0.3">
      <c r="A96" t="s">
        <v>368</v>
      </c>
      <c r="B96" s="2">
        <f>_xlfn.MAXIFS(Gym_data!$B:$B,Gym_data!$C:$C,$A96)</f>
        <v>45852</v>
      </c>
      <c r="C96" s="2">
        <f>IF(M96="Monthly",B96+30,IF(M96="3 Months",B96+90,
 IF(M96="6 Months",B96+180,
 IF(M96="Yearly",B96+365,"Check Plan"))))</f>
        <v>45882</v>
      </c>
      <c r="D96" t="str">
        <f>IF($O$4&lt;=C96,"Active",IF($O$4-C96&lt;=30,"At Risk","Churn Risk"))</f>
        <v>At Risk</v>
      </c>
      <c r="E96">
        <f xml:space="preserve"> $O$4 - B96</f>
        <v>48</v>
      </c>
      <c r="F96">
        <f>COUNTIF(Gym_data!C:C, A96)</f>
        <v>1</v>
      </c>
      <c r="G96">
        <f>SUMIF(Gym_data!C:C, A96, Gym_data!E:E)</f>
        <v>1000</v>
      </c>
      <c r="H96">
        <f>IF(E96&lt;=30,5,IF(E96&lt;=60,4,IF(E96&lt;=90,3,IF(E96&lt;=120,2,1))))</f>
        <v>4</v>
      </c>
      <c r="I96">
        <f>IF(F96&gt;=5,5, IF(F96&gt;=4,4,IF(F96&gt;=3,3,IF(F96&gt;=2,2,1))))</f>
        <v>1</v>
      </c>
      <c r="J96">
        <f>IF(G96&gt;=5000,5,IF(G96&gt;=4000,4,IF(G96&gt;=3000,3,IF(G96&gt;=2000,2,1))))</f>
        <v>1</v>
      </c>
      <c r="K96" t="str">
        <f>H96&amp;I96&amp;J96</f>
        <v>411</v>
      </c>
      <c r="L96" t="str">
        <f>IF(AND(H96&gt;=4,I96&gt;=4,J96&gt;=4),"Champion",IF(AND(H96&gt;=3,I96&gt;=3,J96&gt;=3),"Loyal",IF(AND(H96&gt;=4,I96&lt;=2),"At Risk","Churn Risk")))</f>
        <v>At Risk</v>
      </c>
      <c r="M96" t="str" cm="1">
        <f t="array" ref="M96">_xlfn.XLOOKUP(1,(Gym_data!$C:$C=$A96)*(Gym_data!$B:$B=$B96),Gym_data!$F:$F)</f>
        <v>Monthly</v>
      </c>
    </row>
    <row r="97" spans="1:13" x14ac:dyDescent="0.3">
      <c r="A97" t="s">
        <v>375</v>
      </c>
      <c r="B97" s="2">
        <f>_xlfn.MAXIFS(Gym_data!$B:$B,Gym_data!$C:$C,$A97)</f>
        <v>45841</v>
      </c>
      <c r="C97" s="2">
        <f>IF(M97="Monthly",B97+30,IF(M97="3 Months",B97+90,
 IF(M97="6 Months",B97+180,
 IF(M97="Yearly",B97+365,"Check Plan"))))</f>
        <v>45871</v>
      </c>
      <c r="D97" t="str">
        <f>IF($O$4&lt;=C97,"Active",IF($O$4-C97&lt;=30,"At Risk","Churn Risk"))</f>
        <v>At Risk</v>
      </c>
      <c r="E97">
        <f xml:space="preserve"> $O$4 - B97</f>
        <v>59</v>
      </c>
      <c r="F97">
        <f>COUNTIF(Gym_data!C:C, A97)</f>
        <v>1</v>
      </c>
      <c r="G97">
        <f>SUMIF(Gym_data!C:C, A97, Gym_data!E:E)</f>
        <v>1000</v>
      </c>
      <c r="H97">
        <f>IF(E97&lt;=30,5,IF(E97&lt;=60,4,IF(E97&lt;=90,3,IF(E97&lt;=120,2,1))))</f>
        <v>4</v>
      </c>
      <c r="I97">
        <f>IF(F97&gt;=5,5, IF(F97&gt;=4,4,IF(F97&gt;=3,3,IF(F97&gt;=2,2,1))))</f>
        <v>1</v>
      </c>
      <c r="J97">
        <f>IF(G97&gt;=5000,5,IF(G97&gt;=4000,4,IF(G97&gt;=3000,3,IF(G97&gt;=2000,2,1))))</f>
        <v>1</v>
      </c>
      <c r="K97" t="str">
        <f>H97&amp;I97&amp;J97</f>
        <v>411</v>
      </c>
      <c r="L97" t="str">
        <f>IF(AND(H97&gt;=4,I97&gt;=4,J97&gt;=4),"Champion",IF(AND(H97&gt;=3,I97&gt;=3,J97&gt;=3),"Loyal",IF(AND(H97&gt;=4,I97&lt;=2),"At Risk","Churn Risk")))</f>
        <v>At Risk</v>
      </c>
      <c r="M97" t="str" cm="1">
        <f t="array" ref="M97">_xlfn.XLOOKUP(1,(Gym_data!$C:$C=$A97)*(Gym_data!$B:$B=$B97),Gym_data!$F:$F)</f>
        <v>Monthly</v>
      </c>
    </row>
    <row r="98" spans="1:13" x14ac:dyDescent="0.3">
      <c r="A98" t="s">
        <v>376</v>
      </c>
      <c r="B98" s="2">
        <f>_xlfn.MAXIFS(Gym_data!$B:$B,Gym_data!$C:$C,$A98)</f>
        <v>45866</v>
      </c>
      <c r="C98" s="2">
        <f>IF(M98="Monthly",B98+30,IF(M98="3 Months",B98+90,
 IF(M98="6 Months",B98+180,
 IF(M98="Yearly",B98+365,"Check Plan"))))</f>
        <v>45896</v>
      </c>
      <c r="D98" t="str">
        <f>IF($O$4&lt;=C98,"Active",IF($O$4-C98&lt;=30,"At Risk","Churn Risk"))</f>
        <v>At Risk</v>
      </c>
      <c r="E98">
        <f xml:space="preserve"> $O$4 - B98</f>
        <v>34</v>
      </c>
      <c r="F98">
        <f>COUNTIF(Gym_data!C:C, A98)</f>
        <v>1</v>
      </c>
      <c r="G98">
        <f>SUMIF(Gym_data!C:C, A98, Gym_data!E:E)</f>
        <v>1000</v>
      </c>
      <c r="H98">
        <f>IF(E98&lt;=30,5,IF(E98&lt;=60,4,IF(E98&lt;=90,3,IF(E98&lt;=120,2,1))))</f>
        <v>4</v>
      </c>
      <c r="I98">
        <f>IF(F98&gt;=5,5, IF(F98&gt;=4,4,IF(F98&gt;=3,3,IF(F98&gt;=2,2,1))))</f>
        <v>1</v>
      </c>
      <c r="J98">
        <f>IF(G98&gt;=5000,5,IF(G98&gt;=4000,4,IF(G98&gt;=3000,3,IF(G98&gt;=2000,2,1))))</f>
        <v>1</v>
      </c>
      <c r="K98" t="str">
        <f>H98&amp;I98&amp;J98</f>
        <v>411</v>
      </c>
      <c r="L98" t="str">
        <f>IF(AND(H98&gt;=4,I98&gt;=4,J98&gt;=4),"Champion",IF(AND(H98&gt;=3,I98&gt;=3,J98&gt;=3),"Loyal",IF(AND(H98&gt;=4,I98&lt;=2),"At Risk","Churn Risk")))</f>
        <v>At Risk</v>
      </c>
      <c r="M98" t="str" cm="1">
        <f t="array" ref="M98">_xlfn.XLOOKUP(1,(Gym_data!$C:$C=$A98)*(Gym_data!$B:$B=$B98),Gym_data!$F:$F)</f>
        <v>Monthly</v>
      </c>
    </row>
    <row r="99" spans="1:13" x14ac:dyDescent="0.3">
      <c r="A99" t="s">
        <v>404</v>
      </c>
      <c r="B99" s="2">
        <f>_xlfn.MAXIFS(Gym_data!$B:$B,Gym_data!$C:$C,$A99)</f>
        <v>45862</v>
      </c>
      <c r="C99" s="2">
        <f>IF(M99="Monthly",B99+30,IF(M99="3 Months",B99+90,
 IF(M99="6 Months",B99+180,
 IF(M99="Yearly",B99+365,"Check Plan"))))</f>
        <v>45892</v>
      </c>
      <c r="D99" t="str">
        <f>IF($O$4&lt;=C99,"Active",IF($O$4-C99&lt;=30,"At Risk","Churn Risk"))</f>
        <v>At Risk</v>
      </c>
      <c r="E99">
        <f xml:space="preserve"> $O$4 - B99</f>
        <v>38</v>
      </c>
      <c r="F99">
        <f>COUNTIF(Gym_data!C:C, A99)</f>
        <v>1</v>
      </c>
      <c r="G99">
        <f>SUMIF(Gym_data!C:C, A99, Gym_data!E:E)</f>
        <v>800</v>
      </c>
      <c r="H99">
        <f>IF(E99&lt;=30,5,IF(E99&lt;=60,4,IF(E99&lt;=90,3,IF(E99&lt;=120,2,1))))</f>
        <v>4</v>
      </c>
      <c r="I99">
        <f>IF(F99&gt;=5,5, IF(F99&gt;=4,4,IF(F99&gt;=3,3,IF(F99&gt;=2,2,1))))</f>
        <v>1</v>
      </c>
      <c r="J99">
        <f>IF(G99&gt;=5000,5,IF(G99&gt;=4000,4,IF(G99&gt;=3000,3,IF(G99&gt;=2000,2,1))))</f>
        <v>1</v>
      </c>
      <c r="K99" t="str">
        <f>H99&amp;I99&amp;J99</f>
        <v>411</v>
      </c>
      <c r="L99" t="str">
        <f>IF(AND(H99&gt;=4,I99&gt;=4,J99&gt;=4),"Champion",IF(AND(H99&gt;=3,I99&gt;=3,J99&gt;=3),"Loyal",IF(AND(H99&gt;=4,I99&lt;=2),"At Risk","Churn Risk")))</f>
        <v>At Risk</v>
      </c>
      <c r="M99" t="str" cm="1">
        <f t="array" ref="M99">_xlfn.XLOOKUP(1,(Gym_data!$C:$C=$A99)*(Gym_data!$B:$B=$B99),Gym_data!$F:$F)</f>
        <v>Monthly</v>
      </c>
    </row>
    <row r="100" spans="1:13" x14ac:dyDescent="0.3">
      <c r="A100" t="s">
        <v>405</v>
      </c>
      <c r="B100" s="2">
        <f>_xlfn.MAXIFS(Gym_data!$B:$B,Gym_data!$C:$C,$A100)</f>
        <v>45842</v>
      </c>
      <c r="C100" s="2">
        <f>IF(M100="Monthly",B100+30,IF(M100="3 Months",B100+90,
 IF(M100="6 Months",B100+180,
 IF(M100="Yearly",B100+365,"Check Plan"))))</f>
        <v>45872</v>
      </c>
      <c r="D100" t="str">
        <f>IF($O$4&lt;=C100,"Active",IF($O$4-C100&lt;=30,"At Risk","Churn Risk"))</f>
        <v>At Risk</v>
      </c>
      <c r="E100">
        <f xml:space="preserve"> $O$4 - B100</f>
        <v>58</v>
      </c>
      <c r="F100">
        <f>COUNTIF(Gym_data!C:C, A100)</f>
        <v>1</v>
      </c>
      <c r="G100">
        <f>SUMIF(Gym_data!C:C, A100, Gym_data!E:E)</f>
        <v>1000</v>
      </c>
      <c r="H100">
        <f>IF(E100&lt;=30,5,IF(E100&lt;=60,4,IF(E100&lt;=90,3,IF(E100&lt;=120,2,1))))</f>
        <v>4</v>
      </c>
      <c r="I100">
        <f>IF(F100&gt;=5,5, IF(F100&gt;=4,4,IF(F100&gt;=3,3,IF(F100&gt;=2,2,1))))</f>
        <v>1</v>
      </c>
      <c r="J100">
        <f>IF(G100&gt;=5000,5,IF(G100&gt;=4000,4,IF(G100&gt;=3000,3,IF(G100&gt;=2000,2,1))))</f>
        <v>1</v>
      </c>
      <c r="K100" t="str">
        <f>H100&amp;I100&amp;J100</f>
        <v>411</v>
      </c>
      <c r="L100" t="str">
        <f>IF(AND(H100&gt;=4,I100&gt;=4,J100&gt;=4),"Champion",IF(AND(H100&gt;=3,I100&gt;=3,J100&gt;=3),"Loyal",IF(AND(H100&gt;=4,I100&lt;=2),"At Risk","Churn Risk")))</f>
        <v>At Risk</v>
      </c>
      <c r="M100" t="str" cm="1">
        <f t="array" ref="M100">_xlfn.XLOOKUP(1,(Gym_data!$C:$C=$A100)*(Gym_data!$B:$B=$B100),Gym_data!$F:$F)</f>
        <v>Monthly</v>
      </c>
    </row>
    <row r="101" spans="1:13" x14ac:dyDescent="0.3">
      <c r="A101" t="s">
        <v>219</v>
      </c>
      <c r="B101" s="2">
        <f>_xlfn.MAXIFS(Gym_data!$B:$B,Gym_data!$C:$C,$A101)</f>
        <v>45810</v>
      </c>
      <c r="C101" s="2">
        <f>IF(M101="Monthly",B101+30,IF(M101="3 Months",B101+90,
 IF(M101="6 Months",B101+180,
 IF(M101="Yearly",B101+365,"Check Plan"))))</f>
        <v>45900</v>
      </c>
      <c r="D101" t="str">
        <f>IF($O$4&lt;=C101,"Active",IF($O$4-C101&lt;=30,"At Risk","Churn Risk"))</f>
        <v>Active</v>
      </c>
      <c r="E101">
        <f xml:space="preserve"> $O$4 - B101</f>
        <v>90</v>
      </c>
      <c r="F101">
        <f>COUNTIF(Gym_data!C:C, A101)</f>
        <v>4</v>
      </c>
      <c r="G101">
        <f>SUMIF(Gym_data!C:C, A101, Gym_data!E:E)</f>
        <v>5400</v>
      </c>
      <c r="H101">
        <f>IF(E101&lt;=30,5,IF(E101&lt;=60,4,IF(E101&lt;=90,3,IF(E101&lt;=120,2,1))))</f>
        <v>3</v>
      </c>
      <c r="I101">
        <f>IF(F101&gt;=5,5, IF(F101&gt;=4,4,IF(F101&gt;=3,3,IF(F101&gt;=2,2,1))))</f>
        <v>4</v>
      </c>
      <c r="J101">
        <f>IF(G101&gt;=5000,5,IF(G101&gt;=4000,4,IF(G101&gt;=3000,3,IF(G101&gt;=2000,2,1))))</f>
        <v>5</v>
      </c>
      <c r="K101" t="str">
        <f>H101&amp;I101&amp;J101</f>
        <v>345</v>
      </c>
      <c r="L101" t="str">
        <f>IF(AND(H101&gt;=4,I101&gt;=4,J101&gt;=4),"Champion",IF(AND(H101&gt;=3,I101&gt;=3,J101&gt;=3),"Loyal",IF(AND(H101&gt;=4,I101&lt;=2),"At Risk","Churn Risk")))</f>
        <v>Loyal</v>
      </c>
      <c r="M101" t="str" cm="1">
        <f t="array" ref="M101">_xlfn.XLOOKUP(1,(Gym_data!$C:$C=$A101)*(Gym_data!$B:$B=$B101),Gym_data!$F:$F)</f>
        <v>3 Months</v>
      </c>
    </row>
    <row r="102" spans="1:13" x14ac:dyDescent="0.3">
      <c r="A102" t="s">
        <v>237</v>
      </c>
      <c r="B102" s="2">
        <f>_xlfn.MAXIFS(Gym_data!$B:$B,Gym_data!$C:$C,$A102)</f>
        <v>45839</v>
      </c>
      <c r="C102" s="2">
        <f>IF(M102="Monthly",B102+30,IF(M102="3 Months",B102+90,
 IF(M102="6 Months",B102+180,
 IF(M102="Yearly",B102+365,"Check Plan"))))</f>
        <v>45869</v>
      </c>
      <c r="D102" t="str">
        <f>IF($O$4&lt;=C102,"Active",IF($O$4-C102&lt;=30,"At Risk","Churn Risk"))</f>
        <v>Churn Risk</v>
      </c>
      <c r="E102">
        <f xml:space="preserve"> $O$4 - B102</f>
        <v>61</v>
      </c>
      <c r="F102">
        <f>COUNTIF(Gym_data!C:C, A102)</f>
        <v>4</v>
      </c>
      <c r="G102">
        <f>SUMIF(Gym_data!C:C, A102, Gym_data!E:E)</f>
        <v>4000</v>
      </c>
      <c r="H102">
        <f>IF(E102&lt;=30,5,IF(E102&lt;=60,4,IF(E102&lt;=90,3,IF(E102&lt;=120,2,1))))</f>
        <v>3</v>
      </c>
      <c r="I102">
        <f>IF(F102&gt;=5,5, IF(F102&gt;=4,4,IF(F102&gt;=3,3,IF(F102&gt;=2,2,1))))</f>
        <v>4</v>
      </c>
      <c r="J102">
        <f>IF(G102&gt;=5000,5,IF(G102&gt;=4000,4,IF(G102&gt;=3000,3,IF(G102&gt;=2000,2,1))))</f>
        <v>4</v>
      </c>
      <c r="K102" t="str">
        <f>H102&amp;I102&amp;J102</f>
        <v>344</v>
      </c>
      <c r="L102" t="str">
        <f>IF(AND(H102&gt;=4,I102&gt;=4,J102&gt;=4),"Champion",IF(AND(H102&gt;=3,I102&gt;=3,J102&gt;=3),"Loyal",IF(AND(H102&gt;=4,I102&lt;=2),"At Risk","Churn Risk")))</f>
        <v>Loyal</v>
      </c>
      <c r="M102" t="str" cm="1">
        <f t="array" ref="M102">_xlfn.XLOOKUP(1,(Gym_data!$C:$C=$A102)*(Gym_data!$B:$B=$B102),Gym_data!$F:$F)</f>
        <v>Monthly</v>
      </c>
    </row>
    <row r="103" spans="1:13" x14ac:dyDescent="0.3">
      <c r="A103" t="s">
        <v>338</v>
      </c>
      <c r="B103" s="2">
        <f>_xlfn.MAXIFS(Gym_data!$B:$B,Gym_data!$C:$C,$A103)</f>
        <v>45839</v>
      </c>
      <c r="C103" s="2">
        <f>IF(M103="Monthly",B103+30,IF(M103="3 Months",B103+90,
 IF(M103="6 Months",B103+180,
 IF(M103="Yearly",B103+365,"Check Plan"))))</f>
        <v>45869</v>
      </c>
      <c r="D103" t="str">
        <f>IF($O$4&lt;=C103,"Active",IF($O$4-C103&lt;=30,"At Risk","Churn Risk"))</f>
        <v>Churn Risk</v>
      </c>
      <c r="E103">
        <f xml:space="preserve"> $O$4 - B103</f>
        <v>61</v>
      </c>
      <c r="F103">
        <f>COUNTIF(Gym_data!C:C, A103)</f>
        <v>4</v>
      </c>
      <c r="G103">
        <f>SUMIF(Gym_data!C:C, A103, Gym_data!E:E)</f>
        <v>4000</v>
      </c>
      <c r="H103">
        <f>IF(E103&lt;=30,5,IF(E103&lt;=60,4,IF(E103&lt;=90,3,IF(E103&lt;=120,2,1))))</f>
        <v>3</v>
      </c>
      <c r="I103">
        <f>IF(F103&gt;=5,5, IF(F103&gt;=4,4,IF(F103&gt;=3,3,IF(F103&gt;=2,2,1))))</f>
        <v>4</v>
      </c>
      <c r="J103">
        <f>IF(G103&gt;=5000,5,IF(G103&gt;=4000,4,IF(G103&gt;=3000,3,IF(G103&gt;=2000,2,1))))</f>
        <v>4</v>
      </c>
      <c r="K103" t="str">
        <f>H103&amp;I103&amp;J103</f>
        <v>344</v>
      </c>
      <c r="L103" t="str">
        <f>IF(AND(H103&gt;=4,I103&gt;=4,J103&gt;=4),"Champion",IF(AND(H103&gt;=3,I103&gt;=3,J103&gt;=3),"Loyal",IF(AND(H103&gt;=4,I103&lt;=2),"At Risk","Churn Risk")))</f>
        <v>Loyal</v>
      </c>
      <c r="M103" t="str" cm="1">
        <f t="array" ref="M103">_xlfn.XLOOKUP(1,(Gym_data!$C:$C=$A103)*(Gym_data!$B:$B=$B103),Gym_data!$F:$F)</f>
        <v>Monthly</v>
      </c>
    </row>
    <row r="104" spans="1:13" x14ac:dyDescent="0.3">
      <c r="A104" t="s">
        <v>309</v>
      </c>
      <c r="B104" s="2">
        <f>_xlfn.MAXIFS(Gym_data!$B:$B,Gym_data!$C:$C,$A104)</f>
        <v>45829</v>
      </c>
      <c r="C104" s="2">
        <f>IF(M104="Monthly",B104+30,IF(M104="3 Months",B104+90,
 IF(M104="6 Months",B104+180,
 IF(M104="Yearly",B104+365,"Check Plan"))))</f>
        <v>45919</v>
      </c>
      <c r="D104" t="str">
        <f>IF($O$4&lt;=C104,"Active",IF($O$4-C104&lt;=30,"At Risk","Churn Risk"))</f>
        <v>Active</v>
      </c>
      <c r="E104">
        <f xml:space="preserve"> $O$4 - B104</f>
        <v>71</v>
      </c>
      <c r="F104">
        <f>COUNTIF(Gym_data!C:C, A104)</f>
        <v>3</v>
      </c>
      <c r="G104">
        <f>SUMIF(Gym_data!C:C, A104, Gym_data!E:E)</f>
        <v>6200</v>
      </c>
      <c r="H104">
        <f>IF(E104&lt;=30,5,IF(E104&lt;=60,4,IF(E104&lt;=90,3,IF(E104&lt;=120,2,1))))</f>
        <v>3</v>
      </c>
      <c r="I104">
        <f>IF(F104&gt;=5,5, IF(F104&gt;=4,4,IF(F104&gt;=3,3,IF(F104&gt;=2,2,1))))</f>
        <v>3</v>
      </c>
      <c r="J104">
        <f>IF(G104&gt;=5000,5,IF(G104&gt;=4000,4,IF(G104&gt;=3000,3,IF(G104&gt;=2000,2,1))))</f>
        <v>5</v>
      </c>
      <c r="K104" t="str">
        <f>H104&amp;I104&amp;J104</f>
        <v>335</v>
      </c>
      <c r="L104" t="str">
        <f>IF(AND(H104&gt;=4,I104&gt;=4,J104&gt;=4),"Champion",IF(AND(H104&gt;=3,I104&gt;=3,J104&gt;=3),"Loyal",IF(AND(H104&gt;=4,I104&lt;=2),"At Risk","Churn Risk")))</f>
        <v>Loyal</v>
      </c>
      <c r="M104" t="str" cm="1">
        <f t="array" ref="M104">_xlfn.XLOOKUP(1,(Gym_data!$C:$C=$A104)*(Gym_data!$B:$B=$B104),Gym_data!$F:$F)</f>
        <v>3 Months</v>
      </c>
    </row>
    <row r="105" spans="1:13" x14ac:dyDescent="0.3">
      <c r="A105" t="s">
        <v>391</v>
      </c>
      <c r="B105" s="2">
        <f>_xlfn.MAXIFS(Gym_data!$B:$B,Gym_data!$C:$C,$A105)</f>
        <v>45817</v>
      </c>
      <c r="C105" s="2">
        <f>IF(M105="Monthly",B105+30,IF(M105="3 Months",B105+90,
 IF(M105="6 Months",B105+180,
 IF(M105="Yearly",B105+365,"Check Plan"))))</f>
        <v>45847</v>
      </c>
      <c r="D105" t="str">
        <f>IF($O$4&lt;=C105,"Active",IF($O$4-C105&lt;=30,"At Risk","Churn Risk"))</f>
        <v>Churn Risk</v>
      </c>
      <c r="E105">
        <f xml:space="preserve"> $O$4 - B105</f>
        <v>83</v>
      </c>
      <c r="F105">
        <f>COUNTIF(Gym_data!C:C, A105)</f>
        <v>3</v>
      </c>
      <c r="G105">
        <f>SUMIF(Gym_data!C:C, A105, Gym_data!E:E)</f>
        <v>3000</v>
      </c>
      <c r="H105">
        <f>IF(E105&lt;=30,5,IF(E105&lt;=60,4,IF(E105&lt;=90,3,IF(E105&lt;=120,2,1))))</f>
        <v>3</v>
      </c>
      <c r="I105">
        <f>IF(F105&gt;=5,5, IF(F105&gt;=4,4,IF(F105&gt;=3,3,IF(F105&gt;=2,2,1))))</f>
        <v>3</v>
      </c>
      <c r="J105">
        <f>IF(G105&gt;=5000,5,IF(G105&gt;=4000,4,IF(G105&gt;=3000,3,IF(G105&gt;=2000,2,1))))</f>
        <v>3</v>
      </c>
      <c r="K105" t="str">
        <f>H105&amp;I105&amp;J105</f>
        <v>333</v>
      </c>
      <c r="L105" t="str">
        <f>IF(AND(H105&gt;=4,I105&gt;=4,J105&gt;=4),"Champion",IF(AND(H105&gt;=3,I105&gt;=3,J105&gt;=3),"Loyal",IF(AND(H105&gt;=4,I105&lt;=2),"At Risk","Churn Risk")))</f>
        <v>Loyal</v>
      </c>
      <c r="M105" t="str" cm="1">
        <f t="array" ref="M105">_xlfn.XLOOKUP(1,(Gym_data!$C:$C=$A105)*(Gym_data!$B:$B=$B105),Gym_data!$F:$F)</f>
        <v>Monthly</v>
      </c>
    </row>
    <row r="106" spans="1:13" x14ac:dyDescent="0.3">
      <c r="A106" t="s">
        <v>253</v>
      </c>
      <c r="B106" s="2">
        <f>_xlfn.MAXIFS(Gym_data!$B:$B,Gym_data!$C:$C,$A106)</f>
        <v>45826</v>
      </c>
      <c r="C106" s="2">
        <f>IF(M106="Monthly",B106+30,IF(M106="3 Months",B106+90,
 IF(M106="6 Months",B106+180,
 IF(M106="Yearly",B106+365,"Check Plan"))))</f>
        <v>45916</v>
      </c>
      <c r="D106" t="str">
        <f>IF($O$4&lt;=C106,"Active",IF($O$4-C106&lt;=30,"At Risk","Churn Risk"))</f>
        <v>Active</v>
      </c>
      <c r="E106">
        <f xml:space="preserve"> $O$4 - B106</f>
        <v>74</v>
      </c>
      <c r="F106">
        <f>COUNTIF(Gym_data!C:C, A106)</f>
        <v>2</v>
      </c>
      <c r="G106">
        <f>SUMIF(Gym_data!C:C, A106, Gym_data!E:E)</f>
        <v>9000</v>
      </c>
      <c r="H106">
        <f>IF(E106&lt;=30,5,IF(E106&lt;=60,4,IF(E106&lt;=90,3,IF(E106&lt;=120,2,1))))</f>
        <v>3</v>
      </c>
      <c r="I106">
        <f>IF(F106&gt;=5,5, IF(F106&gt;=4,4,IF(F106&gt;=3,3,IF(F106&gt;=2,2,1))))</f>
        <v>2</v>
      </c>
      <c r="J106">
        <f>IF(G106&gt;=5000,5,IF(G106&gt;=4000,4,IF(G106&gt;=3000,3,IF(G106&gt;=2000,2,1))))</f>
        <v>5</v>
      </c>
      <c r="K106" t="str">
        <f>H106&amp;I106&amp;J106</f>
        <v>325</v>
      </c>
      <c r="L106" t="str">
        <f>IF(AND(H106&gt;=4,I106&gt;=4,J106&gt;=4),"Champion",IF(AND(H106&gt;=3,I106&gt;=3,J106&gt;=3),"Loyal",IF(AND(H106&gt;=4,I106&lt;=2),"At Risk","Churn Risk")))</f>
        <v>Churn Risk</v>
      </c>
      <c r="M106" t="str" cm="1">
        <f t="array" ref="M106">_xlfn.XLOOKUP(1,(Gym_data!$C:$C=$A106)*(Gym_data!$B:$B=$B106),Gym_data!$F:$F)</f>
        <v>3 Months</v>
      </c>
    </row>
    <row r="107" spans="1:13" x14ac:dyDescent="0.3">
      <c r="A107" t="s">
        <v>355</v>
      </c>
      <c r="B107" s="2">
        <f>_xlfn.MAXIFS(Gym_data!$B:$B,Gym_data!$C:$C,$A107)</f>
        <v>45825</v>
      </c>
      <c r="C107" s="2">
        <f>IF(M107="Monthly",B107+30,IF(M107="3 Months",B107+90,
 IF(M107="6 Months",B107+180,
 IF(M107="Yearly",B107+365,"Check Plan"))))</f>
        <v>45915</v>
      </c>
      <c r="D107" t="str">
        <f>IF($O$4&lt;=C107,"Active",IF($O$4-C107&lt;=30,"At Risk","Churn Risk"))</f>
        <v>Active</v>
      </c>
      <c r="E107">
        <f xml:space="preserve"> $O$4 - B107</f>
        <v>75</v>
      </c>
      <c r="F107">
        <f>COUNTIF(Gym_data!C:C, A107)</f>
        <v>2</v>
      </c>
      <c r="G107">
        <f>SUMIF(Gym_data!C:C, A107, Gym_data!E:E)</f>
        <v>9000</v>
      </c>
      <c r="H107">
        <f>IF(E107&lt;=30,5,IF(E107&lt;=60,4,IF(E107&lt;=90,3,IF(E107&lt;=120,2,1))))</f>
        <v>3</v>
      </c>
      <c r="I107">
        <f>IF(F107&gt;=5,5, IF(F107&gt;=4,4,IF(F107&gt;=3,3,IF(F107&gt;=2,2,1))))</f>
        <v>2</v>
      </c>
      <c r="J107">
        <f>IF(G107&gt;=5000,5,IF(G107&gt;=4000,4,IF(G107&gt;=3000,3,IF(G107&gt;=2000,2,1))))</f>
        <v>5</v>
      </c>
      <c r="K107" t="str">
        <f>H107&amp;I107&amp;J107</f>
        <v>325</v>
      </c>
      <c r="L107" t="str">
        <f>IF(AND(H107&gt;=4,I107&gt;=4,J107&gt;=4),"Champion",IF(AND(H107&gt;=3,I107&gt;=3,J107&gt;=3),"Loyal",IF(AND(H107&gt;=4,I107&lt;=2),"At Risk","Churn Risk")))</f>
        <v>Churn Risk</v>
      </c>
      <c r="M107" t="str" cm="1">
        <f t="array" ref="M107">_xlfn.XLOOKUP(1,(Gym_data!$C:$C=$A107)*(Gym_data!$B:$B=$B107),Gym_data!$F:$F)</f>
        <v>3 Months</v>
      </c>
    </row>
    <row r="108" spans="1:13" x14ac:dyDescent="0.3">
      <c r="A108" t="s">
        <v>303</v>
      </c>
      <c r="B108" s="2">
        <f>_xlfn.MAXIFS(Gym_data!$B:$B,Gym_data!$C:$C,$A108)</f>
        <v>45817</v>
      </c>
      <c r="C108" s="2">
        <f>IF(M108="Monthly",B108+30,IF(M108="3 Months",B108+90,
 IF(M108="6 Months",B108+180,
 IF(M108="Yearly",B108+365,"Check Plan"))))</f>
        <v>45907</v>
      </c>
      <c r="D108" t="str">
        <f>IF($O$4&lt;=C108,"Active",IF($O$4-C108&lt;=30,"At Risk","Churn Risk"))</f>
        <v>Active</v>
      </c>
      <c r="E108">
        <f xml:space="preserve"> $O$4 - B108</f>
        <v>83</v>
      </c>
      <c r="F108">
        <f>COUNTIF(Gym_data!C:C, A108)</f>
        <v>2</v>
      </c>
      <c r="G108">
        <f>SUMIF(Gym_data!C:C, A108, Gym_data!E:E)</f>
        <v>4800</v>
      </c>
      <c r="H108">
        <f>IF(E108&lt;=30,5,IF(E108&lt;=60,4,IF(E108&lt;=90,3,IF(E108&lt;=120,2,1))))</f>
        <v>3</v>
      </c>
      <c r="I108">
        <f>IF(F108&gt;=5,5, IF(F108&gt;=4,4,IF(F108&gt;=3,3,IF(F108&gt;=2,2,1))))</f>
        <v>2</v>
      </c>
      <c r="J108">
        <f>IF(G108&gt;=5000,5,IF(G108&gt;=4000,4,IF(G108&gt;=3000,3,IF(G108&gt;=2000,2,1))))</f>
        <v>4</v>
      </c>
      <c r="K108" t="str">
        <f>H108&amp;I108&amp;J108</f>
        <v>324</v>
      </c>
      <c r="L108" t="str">
        <f>IF(AND(H108&gt;=4,I108&gt;=4,J108&gt;=4),"Champion",IF(AND(H108&gt;=3,I108&gt;=3,J108&gt;=3),"Loyal",IF(AND(H108&gt;=4,I108&lt;=2),"At Risk","Churn Risk")))</f>
        <v>Churn Risk</v>
      </c>
      <c r="M108" t="str" cm="1">
        <f t="array" ref="M108">_xlfn.XLOOKUP(1,(Gym_data!$C:$C=$A108)*(Gym_data!$B:$B=$B108),Gym_data!$F:$F)</f>
        <v>3 Months</v>
      </c>
    </row>
    <row r="109" spans="1:13" x14ac:dyDescent="0.3">
      <c r="A109" t="s">
        <v>348</v>
      </c>
      <c r="B109" s="2">
        <f>_xlfn.MAXIFS(Gym_data!$B:$B,Gym_data!$C:$C,$A109)</f>
        <v>45813</v>
      </c>
      <c r="C109" s="2">
        <f>IF(M109="Monthly",B109+30,IF(M109="3 Months",B109+90,
 IF(M109="6 Months",B109+180,
 IF(M109="Yearly",B109+365,"Check Plan"))))</f>
        <v>45843</v>
      </c>
      <c r="D109" t="str">
        <f>IF($O$4&lt;=C109,"Active",IF($O$4-C109&lt;=30,"At Risk","Churn Risk"))</f>
        <v>Churn Risk</v>
      </c>
      <c r="E109">
        <f xml:space="preserve"> $O$4 - B109</f>
        <v>87</v>
      </c>
      <c r="F109">
        <f>COUNTIF(Gym_data!C:C, A109)</f>
        <v>2</v>
      </c>
      <c r="G109">
        <f>SUMIF(Gym_data!C:C, A109, Gym_data!E:E)</f>
        <v>3000</v>
      </c>
      <c r="H109">
        <f>IF(E109&lt;=30,5,IF(E109&lt;=60,4,IF(E109&lt;=90,3,IF(E109&lt;=120,2,1))))</f>
        <v>3</v>
      </c>
      <c r="I109">
        <f>IF(F109&gt;=5,5, IF(F109&gt;=4,4,IF(F109&gt;=3,3,IF(F109&gt;=2,2,1))))</f>
        <v>2</v>
      </c>
      <c r="J109">
        <f>IF(G109&gt;=5000,5,IF(G109&gt;=4000,4,IF(G109&gt;=3000,3,IF(G109&gt;=2000,2,1))))</f>
        <v>3</v>
      </c>
      <c r="K109" t="str">
        <f>H109&amp;I109&amp;J109</f>
        <v>323</v>
      </c>
      <c r="L109" t="str">
        <f>IF(AND(H109&gt;=4,I109&gt;=4,J109&gt;=4),"Champion",IF(AND(H109&gt;=3,I109&gt;=3,J109&gt;=3),"Loyal",IF(AND(H109&gt;=4,I109&lt;=2),"At Risk","Churn Risk")))</f>
        <v>Churn Risk</v>
      </c>
      <c r="M109" t="str" cm="1">
        <f t="array" ref="M109">_xlfn.XLOOKUP(1,(Gym_data!$C:$C=$A109)*(Gym_data!$B:$B=$B109),Gym_data!$F:$F)</f>
        <v>Monthly</v>
      </c>
    </row>
    <row r="110" spans="1:13" x14ac:dyDescent="0.3">
      <c r="A110" t="s">
        <v>263</v>
      </c>
      <c r="B110" s="2">
        <f>_xlfn.MAXIFS(Gym_data!$B:$B,Gym_data!$C:$C,$A110)</f>
        <v>45813</v>
      </c>
      <c r="C110" s="2">
        <f>IF(M110="Monthly",B110+30,IF(M110="3 Months",B110+90,
 IF(M110="6 Months",B110+180,
 IF(M110="Yearly",B110+365,"Check Plan"))))</f>
        <v>45843</v>
      </c>
      <c r="D110" t="str">
        <f>IF($O$4&lt;=C110,"Active",IF($O$4-C110&lt;=30,"At Risk","Churn Risk"))</f>
        <v>Churn Risk</v>
      </c>
      <c r="E110">
        <f xml:space="preserve"> $O$4 - B110</f>
        <v>87</v>
      </c>
      <c r="F110">
        <f>COUNTIF(Gym_data!C:C, A110)</f>
        <v>2</v>
      </c>
      <c r="G110">
        <f>SUMIF(Gym_data!C:C, A110, Gym_data!E:E)</f>
        <v>2000</v>
      </c>
      <c r="H110">
        <f>IF(E110&lt;=30,5,IF(E110&lt;=60,4,IF(E110&lt;=90,3,IF(E110&lt;=120,2,1))))</f>
        <v>3</v>
      </c>
      <c r="I110">
        <f>IF(F110&gt;=5,5, IF(F110&gt;=4,4,IF(F110&gt;=3,3,IF(F110&gt;=2,2,1))))</f>
        <v>2</v>
      </c>
      <c r="J110">
        <f>IF(G110&gt;=5000,5,IF(G110&gt;=4000,4,IF(G110&gt;=3000,3,IF(G110&gt;=2000,2,1))))</f>
        <v>2</v>
      </c>
      <c r="K110" t="str">
        <f>H110&amp;I110&amp;J110</f>
        <v>322</v>
      </c>
      <c r="L110" t="str">
        <f>IF(AND(H110&gt;=4,I110&gt;=4,J110&gt;=4),"Champion",IF(AND(H110&gt;=3,I110&gt;=3,J110&gt;=3),"Loyal",IF(AND(H110&gt;=4,I110&lt;=2),"At Risk","Churn Risk")))</f>
        <v>Churn Risk</v>
      </c>
      <c r="M110" t="str" cm="1">
        <f t="array" ref="M110">_xlfn.XLOOKUP(1,(Gym_data!$C:$C=$A110)*(Gym_data!$B:$B=$B110),Gym_data!$F:$F)</f>
        <v>Monthly</v>
      </c>
    </row>
    <row r="111" spans="1:13" x14ac:dyDescent="0.3">
      <c r="A111" t="s">
        <v>347</v>
      </c>
      <c r="B111" s="2">
        <f>_xlfn.MAXIFS(Gym_data!$B:$B,Gym_data!$C:$C,$A111)</f>
        <v>45831</v>
      </c>
      <c r="C111" s="2">
        <f>IF(M111="Monthly",B111+30,IF(M111="3 Months",B111+90,
 IF(M111="6 Months",B111+180,
 IF(M111="Yearly",B111+365,"Check Plan"))))</f>
        <v>45861</v>
      </c>
      <c r="D111" t="str">
        <f>IF($O$4&lt;=C111,"Active",IF($O$4-C111&lt;=30,"At Risk","Churn Risk"))</f>
        <v>Churn Risk</v>
      </c>
      <c r="E111">
        <f xml:space="preserve"> $O$4 - B111</f>
        <v>69</v>
      </c>
      <c r="F111">
        <f>COUNTIF(Gym_data!C:C, A111)</f>
        <v>2</v>
      </c>
      <c r="G111">
        <f>SUMIF(Gym_data!C:C, A111, Gym_data!E:E)</f>
        <v>2000</v>
      </c>
      <c r="H111">
        <f>IF(E111&lt;=30,5,IF(E111&lt;=60,4,IF(E111&lt;=90,3,IF(E111&lt;=120,2,1))))</f>
        <v>3</v>
      </c>
      <c r="I111">
        <f>IF(F111&gt;=5,5, IF(F111&gt;=4,4,IF(F111&gt;=3,3,IF(F111&gt;=2,2,1))))</f>
        <v>2</v>
      </c>
      <c r="J111">
        <f>IF(G111&gt;=5000,5,IF(G111&gt;=4000,4,IF(G111&gt;=3000,3,IF(G111&gt;=2000,2,1))))</f>
        <v>2</v>
      </c>
      <c r="K111" t="str">
        <f>H111&amp;I111&amp;J111</f>
        <v>322</v>
      </c>
      <c r="L111" t="str">
        <f>IF(AND(H111&gt;=4,I111&gt;=4,J111&gt;=4),"Champion",IF(AND(H111&gt;=3,I111&gt;=3,J111&gt;=3),"Loyal",IF(AND(H111&gt;=4,I111&lt;=2),"At Risk","Churn Risk")))</f>
        <v>Churn Risk</v>
      </c>
      <c r="M111" t="str" cm="1">
        <f t="array" ref="M111">_xlfn.XLOOKUP(1,(Gym_data!$C:$C=$A111)*(Gym_data!$B:$B=$B111),Gym_data!$F:$F)</f>
        <v>Monthly</v>
      </c>
    </row>
    <row r="112" spans="1:13" x14ac:dyDescent="0.3">
      <c r="A112" t="s">
        <v>393</v>
      </c>
      <c r="B112" s="2">
        <f>_xlfn.MAXIFS(Gym_data!$B:$B,Gym_data!$C:$C,$A112)</f>
        <v>45815</v>
      </c>
      <c r="C112" s="2">
        <f>IF(M112="Monthly",B112+30,IF(M112="3 Months",B112+90,
 IF(M112="6 Months",B112+180,
 IF(M112="Yearly",B112+365,"Check Plan"))))</f>
        <v>45845</v>
      </c>
      <c r="D112" t="str">
        <f>IF($O$4&lt;=C112,"Active",IF($O$4-C112&lt;=30,"At Risk","Churn Risk"))</f>
        <v>Churn Risk</v>
      </c>
      <c r="E112">
        <f xml:space="preserve"> $O$4 - B112</f>
        <v>85</v>
      </c>
      <c r="F112">
        <f>COUNTIF(Gym_data!C:C, A112)</f>
        <v>2</v>
      </c>
      <c r="G112">
        <f>SUMIF(Gym_data!C:C, A112, Gym_data!E:E)</f>
        <v>2500</v>
      </c>
      <c r="H112">
        <f>IF(E112&lt;=30,5,IF(E112&lt;=60,4,IF(E112&lt;=90,3,IF(E112&lt;=120,2,1))))</f>
        <v>3</v>
      </c>
      <c r="I112">
        <f>IF(F112&gt;=5,5, IF(F112&gt;=4,4,IF(F112&gt;=3,3,IF(F112&gt;=2,2,1))))</f>
        <v>2</v>
      </c>
      <c r="J112">
        <f>IF(G112&gt;=5000,5,IF(G112&gt;=4000,4,IF(G112&gt;=3000,3,IF(G112&gt;=2000,2,1))))</f>
        <v>2</v>
      </c>
      <c r="K112" t="str">
        <f>H112&amp;I112&amp;J112</f>
        <v>322</v>
      </c>
      <c r="L112" t="str">
        <f>IF(AND(H112&gt;=4,I112&gt;=4,J112&gt;=4),"Champion",IF(AND(H112&gt;=3,I112&gt;=3,J112&gt;=3),"Loyal",IF(AND(H112&gt;=4,I112&lt;=2),"At Risk","Churn Risk")))</f>
        <v>Churn Risk</v>
      </c>
      <c r="M112" t="str" cm="1">
        <f t="array" ref="M112">_xlfn.XLOOKUP(1,(Gym_data!$C:$C=$A112)*(Gym_data!$B:$B=$B112),Gym_data!$F:$F)</f>
        <v>Monthly</v>
      </c>
    </row>
    <row r="113" spans="1:13" x14ac:dyDescent="0.3">
      <c r="A113" t="s">
        <v>352</v>
      </c>
      <c r="B113" s="2">
        <f>_xlfn.MAXIFS(Gym_data!$B:$B,Gym_data!$C:$C,$A113)</f>
        <v>45839</v>
      </c>
      <c r="C113" s="2">
        <f>IF(M113="Monthly",B113+30,IF(M113="3 Months",B113+90,
 IF(M113="6 Months",B113+180,
 IF(M113="Yearly",B113+365,"Check Plan"))))</f>
        <v>45929</v>
      </c>
      <c r="D113" t="str">
        <f>IF($O$4&lt;=C113,"Active",IF($O$4-C113&lt;=30,"At Risk","Churn Risk"))</f>
        <v>Active</v>
      </c>
      <c r="E113">
        <f xml:space="preserve"> $O$4 - B113</f>
        <v>61</v>
      </c>
      <c r="F113">
        <f>COUNTIF(Gym_data!C:C, A113)</f>
        <v>1</v>
      </c>
      <c r="G113">
        <f>SUMIF(Gym_data!C:C, A113, Gym_data!E:E)</f>
        <v>4000</v>
      </c>
      <c r="H113">
        <f>IF(E113&lt;=30,5,IF(E113&lt;=60,4,IF(E113&lt;=90,3,IF(E113&lt;=120,2,1))))</f>
        <v>3</v>
      </c>
      <c r="I113">
        <f>IF(F113&gt;=5,5, IF(F113&gt;=4,4,IF(F113&gt;=3,3,IF(F113&gt;=2,2,1))))</f>
        <v>1</v>
      </c>
      <c r="J113">
        <f>IF(G113&gt;=5000,5,IF(G113&gt;=4000,4,IF(G113&gt;=3000,3,IF(G113&gt;=2000,2,1))))</f>
        <v>4</v>
      </c>
      <c r="K113" t="str">
        <f>H113&amp;I113&amp;J113</f>
        <v>314</v>
      </c>
      <c r="L113" t="str">
        <f>IF(AND(H113&gt;=4,I113&gt;=4,J113&gt;=4),"Champion",IF(AND(H113&gt;=3,I113&gt;=3,J113&gt;=3),"Loyal",IF(AND(H113&gt;=4,I113&lt;=2),"At Risk","Churn Risk")))</f>
        <v>Churn Risk</v>
      </c>
      <c r="M113" t="str" cm="1">
        <f t="array" ref="M113">_xlfn.XLOOKUP(1,(Gym_data!$C:$C=$A113)*(Gym_data!$B:$B=$B113),Gym_data!$F:$F)</f>
        <v>3 Months</v>
      </c>
    </row>
    <row r="114" spans="1:13" x14ac:dyDescent="0.3">
      <c r="A114" t="s">
        <v>248</v>
      </c>
      <c r="B114" s="2">
        <f>_xlfn.MAXIFS(Gym_data!$B:$B,Gym_data!$C:$C,$A114)</f>
        <v>45811</v>
      </c>
      <c r="C114" s="2">
        <f>IF(M114="Monthly",B114+30,IF(M114="3 Months",B114+90,
 IF(M114="6 Months",B114+180,
 IF(M114="Yearly",B114+365,"Check Plan"))))</f>
        <v>45901</v>
      </c>
      <c r="D114" t="str">
        <f>IF($O$4&lt;=C114,"Active",IF($O$4-C114&lt;=30,"At Risk","Churn Risk"))</f>
        <v>Active</v>
      </c>
      <c r="E114">
        <f xml:space="preserve"> $O$4 - B114</f>
        <v>89</v>
      </c>
      <c r="F114">
        <f>COUNTIF(Gym_data!C:C, A114)</f>
        <v>1</v>
      </c>
      <c r="G114">
        <f>SUMIF(Gym_data!C:C, A114, Gym_data!E:E)</f>
        <v>3000</v>
      </c>
      <c r="H114">
        <f>IF(E114&lt;=30,5,IF(E114&lt;=60,4,IF(E114&lt;=90,3,IF(E114&lt;=120,2,1))))</f>
        <v>3</v>
      </c>
      <c r="I114">
        <f>IF(F114&gt;=5,5, IF(F114&gt;=4,4,IF(F114&gt;=3,3,IF(F114&gt;=2,2,1))))</f>
        <v>1</v>
      </c>
      <c r="J114">
        <f>IF(G114&gt;=5000,5,IF(G114&gt;=4000,4,IF(G114&gt;=3000,3,IF(G114&gt;=2000,2,1))))</f>
        <v>3</v>
      </c>
      <c r="K114" t="str">
        <f>H114&amp;I114&amp;J114</f>
        <v>313</v>
      </c>
      <c r="L114" t="str">
        <f>IF(AND(H114&gt;=4,I114&gt;=4,J114&gt;=4),"Champion",IF(AND(H114&gt;=3,I114&gt;=3,J114&gt;=3),"Loyal",IF(AND(H114&gt;=4,I114&lt;=2),"At Risk","Churn Risk")))</f>
        <v>Churn Risk</v>
      </c>
      <c r="M114" t="str" cm="1">
        <f t="array" ref="M114">_xlfn.XLOOKUP(1,(Gym_data!$C:$C=$A114)*(Gym_data!$B:$B=$B114),Gym_data!$F:$F)</f>
        <v>3 Months</v>
      </c>
    </row>
    <row r="115" spans="1:13" x14ac:dyDescent="0.3">
      <c r="A115" t="s">
        <v>267</v>
      </c>
      <c r="B115" s="2">
        <f>_xlfn.MAXIFS(Gym_data!$B:$B,Gym_data!$C:$C,$A115)</f>
        <v>45827</v>
      </c>
      <c r="C115" s="2">
        <f>IF(M115="Monthly",B115+30,IF(M115="3 Months",B115+90,
 IF(M115="6 Months",B115+180,
 IF(M115="Yearly",B115+365,"Check Plan"))))</f>
        <v>45917</v>
      </c>
      <c r="D115" t="str">
        <f>IF($O$4&lt;=C115,"Active",IF($O$4-C115&lt;=30,"At Risk","Churn Risk"))</f>
        <v>Active</v>
      </c>
      <c r="E115">
        <f xml:space="preserve"> $O$4 - B115</f>
        <v>73</v>
      </c>
      <c r="F115">
        <f>COUNTIF(Gym_data!C:C, A115)</f>
        <v>1</v>
      </c>
      <c r="G115">
        <f>SUMIF(Gym_data!C:C, A115, Gym_data!E:E)</f>
        <v>2400</v>
      </c>
      <c r="H115">
        <f>IF(E115&lt;=30,5,IF(E115&lt;=60,4,IF(E115&lt;=90,3,IF(E115&lt;=120,2,1))))</f>
        <v>3</v>
      </c>
      <c r="I115">
        <f>IF(F115&gt;=5,5, IF(F115&gt;=4,4,IF(F115&gt;=3,3,IF(F115&gt;=2,2,1))))</f>
        <v>1</v>
      </c>
      <c r="J115">
        <f>IF(G115&gt;=5000,5,IF(G115&gt;=4000,4,IF(G115&gt;=3000,3,IF(G115&gt;=2000,2,1))))</f>
        <v>2</v>
      </c>
      <c r="K115" t="str">
        <f>H115&amp;I115&amp;J115</f>
        <v>312</v>
      </c>
      <c r="L115" t="str">
        <f>IF(AND(H115&gt;=4,I115&gt;=4,J115&gt;=4),"Champion",IF(AND(H115&gt;=3,I115&gt;=3,J115&gt;=3),"Loyal",IF(AND(H115&gt;=4,I115&lt;=2),"At Risk","Churn Risk")))</f>
        <v>Churn Risk</v>
      </c>
      <c r="M115" t="str" cm="1">
        <f t="array" ref="M115">_xlfn.XLOOKUP(1,(Gym_data!$C:$C=$A115)*(Gym_data!$B:$B=$B115),Gym_data!$F:$F)</f>
        <v>3 Months</v>
      </c>
    </row>
    <row r="116" spans="1:13" x14ac:dyDescent="0.3">
      <c r="A116" t="s">
        <v>275</v>
      </c>
      <c r="B116" s="2">
        <f>_xlfn.MAXIFS(Gym_data!$B:$B,Gym_data!$C:$C,$A116)</f>
        <v>45815</v>
      </c>
      <c r="C116" s="2">
        <f>IF(M116="Monthly",B116+30,IF(M116="3 Months",B116+90,
 IF(M116="6 Months",B116+180,
 IF(M116="Yearly",B116+365,"Check Plan"))))</f>
        <v>45905</v>
      </c>
      <c r="D116" t="str">
        <f>IF($O$4&lt;=C116,"Active",IF($O$4-C116&lt;=30,"At Risk","Churn Risk"))</f>
        <v>Active</v>
      </c>
      <c r="E116">
        <f xml:space="preserve"> $O$4 - B116</f>
        <v>85</v>
      </c>
      <c r="F116">
        <f>COUNTIF(Gym_data!C:C, A116)</f>
        <v>1</v>
      </c>
      <c r="G116">
        <f>SUMIF(Gym_data!C:C, A116, Gym_data!E:E)</f>
        <v>2400</v>
      </c>
      <c r="H116">
        <f>IF(E116&lt;=30,5,IF(E116&lt;=60,4,IF(E116&lt;=90,3,IF(E116&lt;=120,2,1))))</f>
        <v>3</v>
      </c>
      <c r="I116">
        <f>IF(F116&gt;=5,5, IF(F116&gt;=4,4,IF(F116&gt;=3,3,IF(F116&gt;=2,2,1))))</f>
        <v>1</v>
      </c>
      <c r="J116">
        <f>IF(G116&gt;=5000,5,IF(G116&gt;=4000,4,IF(G116&gt;=3000,3,IF(G116&gt;=2000,2,1))))</f>
        <v>2</v>
      </c>
      <c r="K116" t="str">
        <f>H116&amp;I116&amp;J116</f>
        <v>312</v>
      </c>
      <c r="L116" t="str">
        <f>IF(AND(H116&gt;=4,I116&gt;=4,J116&gt;=4),"Champion",IF(AND(H116&gt;=3,I116&gt;=3,J116&gt;=3),"Loyal",IF(AND(H116&gt;=4,I116&lt;=2),"At Risk","Churn Risk")))</f>
        <v>Churn Risk</v>
      </c>
      <c r="M116" t="str" cm="1">
        <f t="array" ref="M116">_xlfn.XLOOKUP(1,(Gym_data!$C:$C=$A116)*(Gym_data!$B:$B=$B116),Gym_data!$F:$F)</f>
        <v>3 Months</v>
      </c>
    </row>
    <row r="117" spans="1:13" x14ac:dyDescent="0.3">
      <c r="A117" t="s">
        <v>332</v>
      </c>
      <c r="B117" s="2">
        <f>_xlfn.MAXIFS(Gym_data!$B:$B,Gym_data!$C:$C,$A117)</f>
        <v>45833</v>
      </c>
      <c r="C117" s="2">
        <f>IF(M117="Monthly",B117+30,IF(M117="3 Months",B117+90,
 IF(M117="6 Months",B117+180,
 IF(M117="Yearly",B117+365,"Check Plan"))))</f>
        <v>45863</v>
      </c>
      <c r="D117" t="str">
        <f>IF($O$4&lt;=C117,"Active",IF($O$4-C117&lt;=30,"At Risk","Churn Risk"))</f>
        <v>Churn Risk</v>
      </c>
      <c r="E117">
        <f xml:space="preserve"> $O$4 - B117</f>
        <v>67</v>
      </c>
      <c r="F117">
        <f>COUNTIF(Gym_data!C:C, A117)</f>
        <v>1</v>
      </c>
      <c r="G117">
        <f>SUMIF(Gym_data!C:C, A117, Gym_data!E:E)</f>
        <v>2000</v>
      </c>
      <c r="H117">
        <f>IF(E117&lt;=30,5,IF(E117&lt;=60,4,IF(E117&lt;=90,3,IF(E117&lt;=120,2,1))))</f>
        <v>3</v>
      </c>
      <c r="I117">
        <f>IF(F117&gt;=5,5, IF(F117&gt;=4,4,IF(F117&gt;=3,3,IF(F117&gt;=2,2,1))))</f>
        <v>1</v>
      </c>
      <c r="J117">
        <f>IF(G117&gt;=5000,5,IF(G117&gt;=4000,4,IF(G117&gt;=3000,3,IF(G117&gt;=2000,2,1))))</f>
        <v>2</v>
      </c>
      <c r="K117" t="str">
        <f>H117&amp;I117&amp;J117</f>
        <v>312</v>
      </c>
      <c r="L117" t="str">
        <f>IF(AND(H117&gt;=4,I117&gt;=4,J117&gt;=4),"Champion",IF(AND(H117&gt;=3,I117&gt;=3,J117&gt;=3),"Loyal",IF(AND(H117&gt;=4,I117&lt;=2),"At Risk","Churn Risk")))</f>
        <v>Churn Risk</v>
      </c>
      <c r="M117" t="str" cm="1">
        <f t="array" ref="M117">_xlfn.XLOOKUP(1,(Gym_data!$C:$C=$A117)*(Gym_data!$B:$B=$B117),Gym_data!$F:$F)</f>
        <v>Monthly</v>
      </c>
    </row>
    <row r="118" spans="1:13" x14ac:dyDescent="0.3">
      <c r="A118" t="s">
        <v>245</v>
      </c>
      <c r="B118" s="2">
        <f>_xlfn.MAXIFS(Gym_data!$B:$B,Gym_data!$C:$C,$A118)</f>
        <v>45824</v>
      </c>
      <c r="C118" s="2">
        <f>IF(M118="Monthly",B118+30,IF(M118="3 Months",B118+90,
 IF(M118="6 Months",B118+180,
 IF(M118="Yearly",B118+365,"Check Plan"))))</f>
        <v>45854</v>
      </c>
      <c r="D118" t="str">
        <f>IF($O$4&lt;=C118,"Active",IF($O$4-C118&lt;=30,"At Risk","Churn Risk"))</f>
        <v>Churn Risk</v>
      </c>
      <c r="E118">
        <f xml:space="preserve"> $O$4 - B118</f>
        <v>76</v>
      </c>
      <c r="F118">
        <f>COUNTIF(Gym_data!C:C, A118)</f>
        <v>1</v>
      </c>
      <c r="G118">
        <f>SUMIF(Gym_data!C:C, A118, Gym_data!E:E)</f>
        <v>1000</v>
      </c>
      <c r="H118">
        <f>IF(E118&lt;=30,5,IF(E118&lt;=60,4,IF(E118&lt;=90,3,IF(E118&lt;=120,2,1))))</f>
        <v>3</v>
      </c>
      <c r="I118">
        <f>IF(F118&gt;=5,5, IF(F118&gt;=4,4,IF(F118&gt;=3,3,IF(F118&gt;=2,2,1))))</f>
        <v>1</v>
      </c>
      <c r="J118">
        <f>IF(G118&gt;=5000,5,IF(G118&gt;=4000,4,IF(G118&gt;=3000,3,IF(G118&gt;=2000,2,1))))</f>
        <v>1</v>
      </c>
      <c r="K118" t="str">
        <f>H118&amp;I118&amp;J118</f>
        <v>311</v>
      </c>
      <c r="L118" t="str">
        <f>IF(AND(H118&gt;=4,I118&gt;=4,J118&gt;=4),"Champion",IF(AND(H118&gt;=3,I118&gt;=3,J118&gt;=3),"Loyal",IF(AND(H118&gt;=4,I118&lt;=2),"At Risk","Churn Risk")))</f>
        <v>Churn Risk</v>
      </c>
      <c r="M118" t="str" cm="1">
        <f t="array" ref="M118">_xlfn.XLOOKUP(1,(Gym_data!$C:$C=$A118)*(Gym_data!$B:$B=$B118),Gym_data!$F:$F)</f>
        <v>Monthly</v>
      </c>
    </row>
    <row r="119" spans="1:13" x14ac:dyDescent="0.3">
      <c r="A119" t="s">
        <v>254</v>
      </c>
      <c r="B119" s="2">
        <f>_xlfn.MAXIFS(Gym_data!$B:$B,Gym_data!$C:$C,$A119)</f>
        <v>45832</v>
      </c>
      <c r="C119" s="2">
        <f>IF(M119="Monthly",B119+30,IF(M119="3 Months",B119+90,
 IF(M119="6 Months",B119+180,
 IF(M119="Yearly",B119+365,"Check Plan"))))</f>
        <v>45862</v>
      </c>
      <c r="D119" t="str">
        <f>IF($O$4&lt;=C119,"Active",IF($O$4-C119&lt;=30,"At Risk","Churn Risk"))</f>
        <v>Churn Risk</v>
      </c>
      <c r="E119">
        <f xml:space="preserve"> $O$4 - B119</f>
        <v>68</v>
      </c>
      <c r="F119">
        <f>COUNTIF(Gym_data!C:C, A119)</f>
        <v>1</v>
      </c>
      <c r="G119">
        <f>SUMIF(Gym_data!C:C, A119, Gym_data!E:E)</f>
        <v>1000</v>
      </c>
      <c r="H119">
        <f>IF(E119&lt;=30,5,IF(E119&lt;=60,4,IF(E119&lt;=90,3,IF(E119&lt;=120,2,1))))</f>
        <v>3</v>
      </c>
      <c r="I119">
        <f>IF(F119&gt;=5,5, IF(F119&gt;=4,4,IF(F119&gt;=3,3,IF(F119&gt;=2,2,1))))</f>
        <v>1</v>
      </c>
      <c r="J119">
        <f>IF(G119&gt;=5000,5,IF(G119&gt;=4000,4,IF(G119&gt;=3000,3,IF(G119&gt;=2000,2,1))))</f>
        <v>1</v>
      </c>
      <c r="K119" t="str">
        <f>H119&amp;I119&amp;J119</f>
        <v>311</v>
      </c>
      <c r="L119" t="str">
        <f>IF(AND(H119&gt;=4,I119&gt;=4,J119&gt;=4),"Champion",IF(AND(H119&gt;=3,I119&gt;=3,J119&gt;=3),"Loyal",IF(AND(H119&gt;=4,I119&lt;=2),"At Risk","Churn Risk")))</f>
        <v>Churn Risk</v>
      </c>
      <c r="M119" t="str" cm="1">
        <f t="array" ref="M119">_xlfn.XLOOKUP(1,(Gym_data!$C:$C=$A119)*(Gym_data!$B:$B=$B119),Gym_data!$F:$F)</f>
        <v>Monthly</v>
      </c>
    </row>
    <row r="120" spans="1:13" x14ac:dyDescent="0.3">
      <c r="A120" t="s">
        <v>259</v>
      </c>
      <c r="B120" s="2">
        <f>_xlfn.MAXIFS(Gym_data!$B:$B,Gym_data!$C:$C,$A120)</f>
        <v>45817</v>
      </c>
      <c r="C120" s="2">
        <f>IF(M120="Monthly",B120+30,IF(M120="3 Months",B120+90,
 IF(M120="6 Months",B120+180,
 IF(M120="Yearly",B120+365,"Check Plan"))))</f>
        <v>45847</v>
      </c>
      <c r="D120" t="str">
        <f>IF($O$4&lt;=C120,"Active",IF($O$4-C120&lt;=30,"At Risk","Churn Risk"))</f>
        <v>Churn Risk</v>
      </c>
      <c r="E120">
        <f xml:space="preserve"> $O$4 - B120</f>
        <v>83</v>
      </c>
      <c r="F120">
        <f>COUNTIF(Gym_data!C:C, A120)</f>
        <v>1</v>
      </c>
      <c r="G120">
        <f>SUMIF(Gym_data!C:C, A120, Gym_data!E:E)</f>
        <v>1000</v>
      </c>
      <c r="H120">
        <f>IF(E120&lt;=30,5,IF(E120&lt;=60,4,IF(E120&lt;=90,3,IF(E120&lt;=120,2,1))))</f>
        <v>3</v>
      </c>
      <c r="I120">
        <f>IF(F120&gt;=5,5, IF(F120&gt;=4,4,IF(F120&gt;=3,3,IF(F120&gt;=2,2,1))))</f>
        <v>1</v>
      </c>
      <c r="J120">
        <f>IF(G120&gt;=5000,5,IF(G120&gt;=4000,4,IF(G120&gt;=3000,3,IF(G120&gt;=2000,2,1))))</f>
        <v>1</v>
      </c>
      <c r="K120" t="str">
        <f>H120&amp;I120&amp;J120</f>
        <v>311</v>
      </c>
      <c r="L120" t="str">
        <f>IF(AND(H120&gt;=4,I120&gt;=4,J120&gt;=4),"Champion",IF(AND(H120&gt;=3,I120&gt;=3,J120&gt;=3),"Loyal",IF(AND(H120&gt;=4,I120&lt;=2),"At Risk","Churn Risk")))</f>
        <v>Churn Risk</v>
      </c>
      <c r="M120" t="str" cm="1">
        <f t="array" ref="M120">_xlfn.XLOOKUP(1,(Gym_data!$C:$C=$A120)*(Gym_data!$B:$B=$B120),Gym_data!$F:$F)</f>
        <v>Monthly</v>
      </c>
    </row>
    <row r="121" spans="1:13" x14ac:dyDescent="0.3">
      <c r="A121" t="s">
        <v>272</v>
      </c>
      <c r="B121" s="2">
        <f>_xlfn.MAXIFS(Gym_data!$B:$B,Gym_data!$C:$C,$A121)</f>
        <v>45810</v>
      </c>
      <c r="C121" s="2">
        <f>IF(M121="Monthly",B121+30,IF(M121="3 Months",B121+90,
 IF(M121="6 Months",B121+180,
 IF(M121="Yearly",B121+365,"Check Plan"))))</f>
        <v>45840</v>
      </c>
      <c r="D121" t="str">
        <f>IF($O$4&lt;=C121,"Active",IF($O$4-C121&lt;=30,"At Risk","Churn Risk"))</f>
        <v>Churn Risk</v>
      </c>
      <c r="E121">
        <f xml:space="preserve"> $O$4 - B121</f>
        <v>90</v>
      </c>
      <c r="F121">
        <f>COUNTIF(Gym_data!C:C, A121)</f>
        <v>1</v>
      </c>
      <c r="G121">
        <f>SUMIF(Gym_data!C:C, A121, Gym_data!E:E)</f>
        <v>1000</v>
      </c>
      <c r="H121">
        <f>IF(E121&lt;=30,5,IF(E121&lt;=60,4,IF(E121&lt;=90,3,IF(E121&lt;=120,2,1))))</f>
        <v>3</v>
      </c>
      <c r="I121">
        <f>IF(F121&gt;=5,5, IF(F121&gt;=4,4,IF(F121&gt;=3,3,IF(F121&gt;=2,2,1))))</f>
        <v>1</v>
      </c>
      <c r="J121">
        <f>IF(G121&gt;=5000,5,IF(G121&gt;=4000,4,IF(G121&gt;=3000,3,IF(G121&gt;=2000,2,1))))</f>
        <v>1</v>
      </c>
      <c r="K121" t="str">
        <f>H121&amp;I121&amp;J121</f>
        <v>311</v>
      </c>
      <c r="L121" t="str">
        <f>IF(AND(H121&gt;=4,I121&gt;=4,J121&gt;=4),"Champion",IF(AND(H121&gt;=3,I121&gt;=3,J121&gt;=3),"Loyal",IF(AND(H121&gt;=4,I121&lt;=2),"At Risk","Churn Risk")))</f>
        <v>Churn Risk</v>
      </c>
      <c r="M121" t="str" cm="1">
        <f t="array" ref="M121">_xlfn.XLOOKUP(1,(Gym_data!$C:$C=$A121)*(Gym_data!$B:$B=$B121),Gym_data!$F:$F)</f>
        <v>Monthly</v>
      </c>
    </row>
    <row r="122" spans="1:13" x14ac:dyDescent="0.3">
      <c r="A122" t="s">
        <v>277</v>
      </c>
      <c r="B122" s="2">
        <f>_xlfn.MAXIFS(Gym_data!$B:$B,Gym_data!$C:$C,$A122)</f>
        <v>45826</v>
      </c>
      <c r="C122" s="2">
        <f>IF(M122="Monthly",B122+30,IF(M122="3 Months",B122+90,
 IF(M122="6 Months",B122+180,
 IF(M122="Yearly",B122+365,"Check Plan"))))</f>
        <v>45856</v>
      </c>
      <c r="D122" t="str">
        <f>IF($O$4&lt;=C122,"Active",IF($O$4-C122&lt;=30,"At Risk","Churn Risk"))</f>
        <v>Churn Risk</v>
      </c>
      <c r="E122">
        <f xml:space="preserve"> $O$4 - B122</f>
        <v>74</v>
      </c>
      <c r="F122">
        <f>COUNTIF(Gym_data!C:C, A122)</f>
        <v>1</v>
      </c>
      <c r="G122">
        <f>SUMIF(Gym_data!C:C, A122, Gym_data!E:E)</f>
        <v>1000</v>
      </c>
      <c r="H122">
        <f>IF(E122&lt;=30,5,IF(E122&lt;=60,4,IF(E122&lt;=90,3,IF(E122&lt;=120,2,1))))</f>
        <v>3</v>
      </c>
      <c r="I122">
        <f>IF(F122&gt;=5,5, IF(F122&gt;=4,4,IF(F122&gt;=3,3,IF(F122&gt;=2,2,1))))</f>
        <v>1</v>
      </c>
      <c r="J122">
        <f>IF(G122&gt;=5000,5,IF(G122&gt;=4000,4,IF(G122&gt;=3000,3,IF(G122&gt;=2000,2,1))))</f>
        <v>1</v>
      </c>
      <c r="K122" t="str">
        <f>H122&amp;I122&amp;J122</f>
        <v>311</v>
      </c>
      <c r="L122" t="str">
        <f>IF(AND(H122&gt;=4,I122&gt;=4,J122&gt;=4),"Champion",IF(AND(H122&gt;=3,I122&gt;=3,J122&gt;=3),"Loyal",IF(AND(H122&gt;=4,I122&lt;=2),"At Risk","Churn Risk")))</f>
        <v>Churn Risk</v>
      </c>
      <c r="M122" t="str" cm="1">
        <f t="array" ref="M122">_xlfn.XLOOKUP(1,(Gym_data!$C:$C=$A122)*(Gym_data!$B:$B=$B122),Gym_data!$F:$F)</f>
        <v>Monthly</v>
      </c>
    </row>
    <row r="123" spans="1:13" x14ac:dyDescent="0.3">
      <c r="A123" t="s">
        <v>283</v>
      </c>
      <c r="B123" s="2">
        <f>_xlfn.MAXIFS(Gym_data!$B:$B,Gym_data!$C:$C,$A123)</f>
        <v>45821</v>
      </c>
      <c r="C123" s="2">
        <f>IF(M123="Monthly",B123+30,IF(M123="3 Months",B123+90,
 IF(M123="6 Months",B123+180,
 IF(M123="Yearly",B123+365,"Check Plan"))))</f>
        <v>45851</v>
      </c>
      <c r="D123" t="str">
        <f>IF($O$4&lt;=C123,"Active",IF($O$4-C123&lt;=30,"At Risk","Churn Risk"))</f>
        <v>Churn Risk</v>
      </c>
      <c r="E123">
        <f xml:space="preserve"> $O$4 - B123</f>
        <v>79</v>
      </c>
      <c r="F123">
        <f>COUNTIF(Gym_data!C:C, A123)</f>
        <v>1</v>
      </c>
      <c r="G123">
        <f>SUMIF(Gym_data!C:C, A123, Gym_data!E:E)</f>
        <v>1000</v>
      </c>
      <c r="H123">
        <f>IF(E123&lt;=30,5,IF(E123&lt;=60,4,IF(E123&lt;=90,3,IF(E123&lt;=120,2,1))))</f>
        <v>3</v>
      </c>
      <c r="I123">
        <f>IF(F123&gt;=5,5, IF(F123&gt;=4,4,IF(F123&gt;=3,3,IF(F123&gt;=2,2,1))))</f>
        <v>1</v>
      </c>
      <c r="J123">
        <f>IF(G123&gt;=5000,5,IF(G123&gt;=4000,4,IF(G123&gt;=3000,3,IF(G123&gt;=2000,2,1))))</f>
        <v>1</v>
      </c>
      <c r="K123" t="str">
        <f>H123&amp;I123&amp;J123</f>
        <v>311</v>
      </c>
      <c r="L123" t="str">
        <f>IF(AND(H123&gt;=4,I123&gt;=4,J123&gt;=4),"Champion",IF(AND(H123&gt;=3,I123&gt;=3,J123&gt;=3),"Loyal",IF(AND(H123&gt;=4,I123&lt;=2),"At Risk","Churn Risk")))</f>
        <v>Churn Risk</v>
      </c>
      <c r="M123" t="str" cm="1">
        <f t="array" ref="M123">_xlfn.XLOOKUP(1,(Gym_data!$C:$C=$A123)*(Gym_data!$B:$B=$B123),Gym_data!$F:$F)</f>
        <v>Monthly</v>
      </c>
    </row>
    <row r="124" spans="1:13" x14ac:dyDescent="0.3">
      <c r="A124" t="s">
        <v>291</v>
      </c>
      <c r="B124" s="2">
        <f>_xlfn.MAXIFS(Gym_data!$B:$B,Gym_data!$C:$C,$A124)</f>
        <v>45827</v>
      </c>
      <c r="C124" s="2">
        <f>IF(M124="Monthly",B124+30,IF(M124="3 Months",B124+90,
 IF(M124="6 Months",B124+180,
 IF(M124="Yearly",B124+365,"Check Plan"))))</f>
        <v>45857</v>
      </c>
      <c r="D124" t="str">
        <f>IF($O$4&lt;=C124,"Active",IF($O$4-C124&lt;=30,"At Risk","Churn Risk"))</f>
        <v>Churn Risk</v>
      </c>
      <c r="E124">
        <f xml:space="preserve"> $O$4 - B124</f>
        <v>73</v>
      </c>
      <c r="F124">
        <f>COUNTIF(Gym_data!C:C, A124)</f>
        <v>1</v>
      </c>
      <c r="G124">
        <f>SUMIF(Gym_data!C:C, A124, Gym_data!E:E)</f>
        <v>500</v>
      </c>
      <c r="H124">
        <f>IF(E124&lt;=30,5,IF(E124&lt;=60,4,IF(E124&lt;=90,3,IF(E124&lt;=120,2,1))))</f>
        <v>3</v>
      </c>
      <c r="I124">
        <f>IF(F124&gt;=5,5, IF(F124&gt;=4,4,IF(F124&gt;=3,3,IF(F124&gt;=2,2,1))))</f>
        <v>1</v>
      </c>
      <c r="J124">
        <f>IF(G124&gt;=5000,5,IF(G124&gt;=4000,4,IF(G124&gt;=3000,3,IF(G124&gt;=2000,2,1))))</f>
        <v>1</v>
      </c>
      <c r="K124" t="str">
        <f>H124&amp;I124&amp;J124</f>
        <v>311</v>
      </c>
      <c r="L124" t="str">
        <f>IF(AND(H124&gt;=4,I124&gt;=4,J124&gt;=4),"Champion",IF(AND(H124&gt;=3,I124&gt;=3,J124&gt;=3),"Loyal",IF(AND(H124&gt;=4,I124&lt;=2),"At Risk","Churn Risk")))</f>
        <v>Churn Risk</v>
      </c>
      <c r="M124" t="str" cm="1">
        <f t="array" ref="M124">_xlfn.XLOOKUP(1,(Gym_data!$C:$C=$A124)*(Gym_data!$B:$B=$B124),Gym_data!$F:$F)</f>
        <v>Monthly</v>
      </c>
    </row>
    <row r="125" spans="1:13" x14ac:dyDescent="0.3">
      <c r="A125" t="s">
        <v>297</v>
      </c>
      <c r="B125" s="2">
        <f>_xlfn.MAXIFS(Gym_data!$B:$B,Gym_data!$C:$C,$A125)</f>
        <v>45812</v>
      </c>
      <c r="C125" s="2">
        <f>IF(M125="Monthly",B125+30,IF(M125="3 Months",B125+90,
 IF(M125="6 Months",B125+180,
 IF(M125="Yearly",B125+365,"Check Plan"))))</f>
        <v>45842</v>
      </c>
      <c r="D125" t="str">
        <f>IF($O$4&lt;=C125,"Active",IF($O$4-C125&lt;=30,"At Risk","Churn Risk"))</f>
        <v>Churn Risk</v>
      </c>
      <c r="E125">
        <f xml:space="preserve"> $O$4 - B125</f>
        <v>88</v>
      </c>
      <c r="F125">
        <f>COUNTIF(Gym_data!C:C, A125)</f>
        <v>1</v>
      </c>
      <c r="G125">
        <f>SUMIF(Gym_data!C:C, A125, Gym_data!E:E)</f>
        <v>1000</v>
      </c>
      <c r="H125">
        <f>IF(E125&lt;=30,5,IF(E125&lt;=60,4,IF(E125&lt;=90,3,IF(E125&lt;=120,2,1))))</f>
        <v>3</v>
      </c>
      <c r="I125">
        <f>IF(F125&gt;=5,5, IF(F125&gt;=4,4,IF(F125&gt;=3,3,IF(F125&gt;=2,2,1))))</f>
        <v>1</v>
      </c>
      <c r="J125">
        <f>IF(G125&gt;=5000,5,IF(G125&gt;=4000,4,IF(G125&gt;=3000,3,IF(G125&gt;=2000,2,1))))</f>
        <v>1</v>
      </c>
      <c r="K125" t="str">
        <f>H125&amp;I125&amp;J125</f>
        <v>311</v>
      </c>
      <c r="L125" t="str">
        <f>IF(AND(H125&gt;=4,I125&gt;=4,J125&gt;=4),"Champion",IF(AND(H125&gt;=3,I125&gt;=3,J125&gt;=3),"Loyal",IF(AND(H125&gt;=4,I125&lt;=2),"At Risk","Churn Risk")))</f>
        <v>Churn Risk</v>
      </c>
      <c r="M125" t="str" cm="1">
        <f t="array" ref="M125">_xlfn.XLOOKUP(1,(Gym_data!$C:$C=$A125)*(Gym_data!$B:$B=$B125),Gym_data!$F:$F)</f>
        <v>Monthly</v>
      </c>
    </row>
    <row r="126" spans="1:13" x14ac:dyDescent="0.3">
      <c r="A126" t="s">
        <v>298</v>
      </c>
      <c r="B126" s="2">
        <f>_xlfn.MAXIFS(Gym_data!$B:$B,Gym_data!$C:$C,$A126)</f>
        <v>45821</v>
      </c>
      <c r="C126" s="2">
        <f>IF(M126="Monthly",B126+30,IF(M126="3 Months",B126+90,
 IF(M126="6 Months",B126+180,
 IF(M126="Yearly",B126+365,"Check Plan"))))</f>
        <v>45851</v>
      </c>
      <c r="D126" t="str">
        <f>IF($O$4&lt;=C126,"Active",IF($O$4-C126&lt;=30,"At Risk","Churn Risk"))</f>
        <v>Churn Risk</v>
      </c>
      <c r="E126">
        <f xml:space="preserve"> $O$4 - B126</f>
        <v>79</v>
      </c>
      <c r="F126">
        <f>COUNTIF(Gym_data!C:C, A126)</f>
        <v>1</v>
      </c>
      <c r="G126">
        <f>SUMIF(Gym_data!C:C, A126, Gym_data!E:E)</f>
        <v>1000</v>
      </c>
      <c r="H126">
        <f>IF(E126&lt;=30,5,IF(E126&lt;=60,4,IF(E126&lt;=90,3,IF(E126&lt;=120,2,1))))</f>
        <v>3</v>
      </c>
      <c r="I126">
        <f>IF(F126&gt;=5,5, IF(F126&gt;=4,4,IF(F126&gt;=3,3,IF(F126&gt;=2,2,1))))</f>
        <v>1</v>
      </c>
      <c r="J126">
        <f>IF(G126&gt;=5000,5,IF(G126&gt;=4000,4,IF(G126&gt;=3000,3,IF(G126&gt;=2000,2,1))))</f>
        <v>1</v>
      </c>
      <c r="K126" t="str">
        <f>H126&amp;I126&amp;J126</f>
        <v>311</v>
      </c>
      <c r="L126" t="str">
        <f>IF(AND(H126&gt;=4,I126&gt;=4,J126&gt;=4),"Champion",IF(AND(H126&gt;=3,I126&gt;=3,J126&gt;=3),"Loyal",IF(AND(H126&gt;=4,I126&lt;=2),"At Risk","Churn Risk")))</f>
        <v>Churn Risk</v>
      </c>
      <c r="M126" t="str" cm="1">
        <f t="array" ref="M126">_xlfn.XLOOKUP(1,(Gym_data!$C:$C=$A126)*(Gym_data!$B:$B=$B126),Gym_data!$F:$F)</f>
        <v>Monthly</v>
      </c>
    </row>
    <row r="127" spans="1:13" x14ac:dyDescent="0.3">
      <c r="A127" t="s">
        <v>299</v>
      </c>
      <c r="B127" s="2">
        <f>_xlfn.MAXIFS(Gym_data!$B:$B,Gym_data!$C:$C,$A127)</f>
        <v>45821</v>
      </c>
      <c r="C127" s="2">
        <f>IF(M127="Monthly",B127+30,IF(M127="3 Months",B127+90,
 IF(M127="6 Months",B127+180,
 IF(M127="Yearly",B127+365,"Check Plan"))))</f>
        <v>45851</v>
      </c>
      <c r="D127" t="str">
        <f>IF($O$4&lt;=C127,"Active",IF($O$4-C127&lt;=30,"At Risk","Churn Risk"))</f>
        <v>Churn Risk</v>
      </c>
      <c r="E127">
        <f xml:space="preserve"> $O$4 - B127</f>
        <v>79</v>
      </c>
      <c r="F127">
        <f>COUNTIF(Gym_data!C:C, A127)</f>
        <v>1</v>
      </c>
      <c r="G127">
        <f>SUMIF(Gym_data!C:C, A127, Gym_data!E:E)</f>
        <v>1000</v>
      </c>
      <c r="H127">
        <f>IF(E127&lt;=30,5,IF(E127&lt;=60,4,IF(E127&lt;=90,3,IF(E127&lt;=120,2,1))))</f>
        <v>3</v>
      </c>
      <c r="I127">
        <f>IF(F127&gt;=5,5, IF(F127&gt;=4,4,IF(F127&gt;=3,3,IF(F127&gt;=2,2,1))))</f>
        <v>1</v>
      </c>
      <c r="J127">
        <f>IF(G127&gt;=5000,5,IF(G127&gt;=4000,4,IF(G127&gt;=3000,3,IF(G127&gt;=2000,2,1))))</f>
        <v>1</v>
      </c>
      <c r="K127" t="str">
        <f>H127&amp;I127&amp;J127</f>
        <v>311</v>
      </c>
      <c r="L127" t="str">
        <f>IF(AND(H127&gt;=4,I127&gt;=4,J127&gt;=4),"Champion",IF(AND(H127&gt;=3,I127&gt;=3,J127&gt;=3),"Loyal",IF(AND(H127&gt;=4,I127&lt;=2),"At Risk","Churn Risk")))</f>
        <v>Churn Risk</v>
      </c>
      <c r="M127" t="str" cm="1">
        <f t="array" ref="M127">_xlfn.XLOOKUP(1,(Gym_data!$C:$C=$A127)*(Gym_data!$B:$B=$B127),Gym_data!$F:$F)</f>
        <v>Monthly</v>
      </c>
    </row>
    <row r="128" spans="1:13" x14ac:dyDescent="0.3">
      <c r="A128" t="s">
        <v>318</v>
      </c>
      <c r="B128" s="2">
        <f>_xlfn.MAXIFS(Gym_data!$B:$B,Gym_data!$C:$C,$A128)</f>
        <v>45832</v>
      </c>
      <c r="C128" s="2">
        <f>IF(M128="Monthly",B128+30,IF(M128="3 Months",B128+90,
 IF(M128="6 Months",B128+180,
 IF(M128="Yearly",B128+365,"Check Plan"))))</f>
        <v>45862</v>
      </c>
      <c r="D128" t="str">
        <f>IF($O$4&lt;=C128,"Active",IF($O$4-C128&lt;=30,"At Risk","Churn Risk"))</f>
        <v>Churn Risk</v>
      </c>
      <c r="E128">
        <f xml:space="preserve"> $O$4 - B128</f>
        <v>68</v>
      </c>
      <c r="F128">
        <f>COUNTIF(Gym_data!C:C, A128)</f>
        <v>1</v>
      </c>
      <c r="G128">
        <f>SUMIF(Gym_data!C:C, A128, Gym_data!E:E)</f>
        <v>800</v>
      </c>
      <c r="H128">
        <f>IF(E128&lt;=30,5,IF(E128&lt;=60,4,IF(E128&lt;=90,3,IF(E128&lt;=120,2,1))))</f>
        <v>3</v>
      </c>
      <c r="I128">
        <f>IF(F128&gt;=5,5, IF(F128&gt;=4,4,IF(F128&gt;=3,3,IF(F128&gt;=2,2,1))))</f>
        <v>1</v>
      </c>
      <c r="J128">
        <f>IF(G128&gt;=5000,5,IF(G128&gt;=4000,4,IF(G128&gt;=3000,3,IF(G128&gt;=2000,2,1))))</f>
        <v>1</v>
      </c>
      <c r="K128" t="str">
        <f>H128&amp;I128&amp;J128</f>
        <v>311</v>
      </c>
      <c r="L128" t="str">
        <f>IF(AND(H128&gt;=4,I128&gt;=4,J128&gt;=4),"Champion",IF(AND(H128&gt;=3,I128&gt;=3,J128&gt;=3),"Loyal",IF(AND(H128&gt;=4,I128&lt;=2),"At Risk","Churn Risk")))</f>
        <v>Churn Risk</v>
      </c>
      <c r="M128" t="str" cm="1">
        <f t="array" ref="M128">_xlfn.XLOOKUP(1,(Gym_data!$C:$C=$A128)*(Gym_data!$B:$B=$B128),Gym_data!$F:$F)</f>
        <v>Monthly</v>
      </c>
    </row>
    <row r="129" spans="1:13" x14ac:dyDescent="0.3">
      <c r="A129" t="s">
        <v>358</v>
      </c>
      <c r="B129" s="2">
        <f>_xlfn.MAXIFS(Gym_data!$B:$B,Gym_data!$C:$C,$A129)</f>
        <v>45817</v>
      </c>
      <c r="C129" s="2">
        <f>IF(M129="Monthly",B129+30,IF(M129="3 Months",B129+90,
 IF(M129="6 Months",B129+180,
 IF(M129="Yearly",B129+365,"Check Plan"))))</f>
        <v>45847</v>
      </c>
      <c r="D129" t="str">
        <f>IF($O$4&lt;=C129,"Active",IF($O$4-C129&lt;=30,"At Risk","Churn Risk"))</f>
        <v>Churn Risk</v>
      </c>
      <c r="E129">
        <f xml:space="preserve"> $O$4 - B129</f>
        <v>83</v>
      </c>
      <c r="F129">
        <f>COUNTIF(Gym_data!C:C, A129)</f>
        <v>1</v>
      </c>
      <c r="G129">
        <f>SUMIF(Gym_data!C:C, A129, Gym_data!E:E)</f>
        <v>1000</v>
      </c>
      <c r="H129">
        <f>IF(E129&lt;=30,5,IF(E129&lt;=60,4,IF(E129&lt;=90,3,IF(E129&lt;=120,2,1))))</f>
        <v>3</v>
      </c>
      <c r="I129">
        <f>IF(F129&gt;=5,5, IF(F129&gt;=4,4,IF(F129&gt;=3,3,IF(F129&gt;=2,2,1))))</f>
        <v>1</v>
      </c>
      <c r="J129">
        <f>IF(G129&gt;=5000,5,IF(G129&gt;=4000,4,IF(G129&gt;=3000,3,IF(G129&gt;=2000,2,1))))</f>
        <v>1</v>
      </c>
      <c r="K129" t="str">
        <f>H129&amp;I129&amp;J129</f>
        <v>311</v>
      </c>
      <c r="L129" t="str">
        <f>IF(AND(H129&gt;=4,I129&gt;=4,J129&gt;=4),"Champion",IF(AND(H129&gt;=3,I129&gt;=3,J129&gt;=3),"Loyal",IF(AND(H129&gt;=4,I129&lt;=2),"At Risk","Churn Risk")))</f>
        <v>Churn Risk</v>
      </c>
      <c r="M129" t="str" cm="1">
        <f t="array" ref="M129">_xlfn.XLOOKUP(1,(Gym_data!$C:$C=$A129)*(Gym_data!$B:$B=$B129),Gym_data!$F:$F)</f>
        <v>Monthly</v>
      </c>
    </row>
    <row r="130" spans="1:13" x14ac:dyDescent="0.3">
      <c r="A130" t="s">
        <v>359</v>
      </c>
      <c r="B130" s="2">
        <f>_xlfn.MAXIFS(Gym_data!$B:$B,Gym_data!$C:$C,$A130)</f>
        <v>45839</v>
      </c>
      <c r="C130" s="2">
        <f>IF(M130="Monthly",B130+30,IF(M130="3 Months",B130+90,
 IF(M130="6 Months",B130+180,
 IF(M130="Yearly",B130+365,"Check Plan"))))</f>
        <v>45869</v>
      </c>
      <c r="D130" t="str">
        <f>IF($O$4&lt;=C130,"Active",IF($O$4-C130&lt;=30,"At Risk","Churn Risk"))</f>
        <v>Churn Risk</v>
      </c>
      <c r="E130">
        <f xml:space="preserve"> $O$4 - B130</f>
        <v>61</v>
      </c>
      <c r="F130">
        <f>COUNTIF(Gym_data!C:C, A130)</f>
        <v>1</v>
      </c>
      <c r="G130">
        <f>SUMIF(Gym_data!C:C, A130, Gym_data!E:E)</f>
        <v>1000</v>
      </c>
      <c r="H130">
        <f>IF(E130&lt;=30,5,IF(E130&lt;=60,4,IF(E130&lt;=90,3,IF(E130&lt;=120,2,1))))</f>
        <v>3</v>
      </c>
      <c r="I130">
        <f>IF(F130&gt;=5,5, IF(F130&gt;=4,4,IF(F130&gt;=3,3,IF(F130&gt;=2,2,1))))</f>
        <v>1</v>
      </c>
      <c r="J130">
        <f>IF(G130&gt;=5000,5,IF(G130&gt;=4000,4,IF(G130&gt;=3000,3,IF(G130&gt;=2000,2,1))))</f>
        <v>1</v>
      </c>
      <c r="K130" t="str">
        <f>H130&amp;I130&amp;J130</f>
        <v>311</v>
      </c>
      <c r="L130" t="str">
        <f>IF(AND(H130&gt;=4,I130&gt;=4,J130&gt;=4),"Champion",IF(AND(H130&gt;=3,I130&gt;=3,J130&gt;=3),"Loyal",IF(AND(H130&gt;=4,I130&lt;=2),"At Risk","Churn Risk")))</f>
        <v>Churn Risk</v>
      </c>
      <c r="M130" t="str" cm="1">
        <f t="array" ref="M130">_xlfn.XLOOKUP(1,(Gym_data!$C:$C=$A130)*(Gym_data!$B:$B=$B130),Gym_data!$F:$F)</f>
        <v>Monthly</v>
      </c>
    </row>
    <row r="131" spans="1:13" x14ac:dyDescent="0.3">
      <c r="A131" t="s">
        <v>360</v>
      </c>
      <c r="B131" s="2">
        <f>_xlfn.MAXIFS(Gym_data!$B:$B,Gym_data!$C:$C,$A131)</f>
        <v>45839</v>
      </c>
      <c r="C131" s="2">
        <f>IF(M131="Monthly",B131+30,IF(M131="3 Months",B131+90,
 IF(M131="6 Months",B131+180,
 IF(M131="Yearly",B131+365,"Check Plan"))))</f>
        <v>45869</v>
      </c>
      <c r="D131" t="str">
        <f>IF($O$4&lt;=C131,"Active",IF($O$4-C131&lt;=30,"At Risk","Churn Risk"))</f>
        <v>Churn Risk</v>
      </c>
      <c r="E131">
        <f xml:space="preserve"> $O$4 - B131</f>
        <v>61</v>
      </c>
      <c r="F131">
        <f>COUNTIF(Gym_data!C:C, A131)</f>
        <v>1</v>
      </c>
      <c r="G131">
        <f>SUMIF(Gym_data!C:C, A131, Gym_data!E:E)</f>
        <v>1000</v>
      </c>
      <c r="H131">
        <f>IF(E131&lt;=30,5,IF(E131&lt;=60,4,IF(E131&lt;=90,3,IF(E131&lt;=120,2,1))))</f>
        <v>3</v>
      </c>
      <c r="I131">
        <f>IF(F131&gt;=5,5, IF(F131&gt;=4,4,IF(F131&gt;=3,3,IF(F131&gt;=2,2,1))))</f>
        <v>1</v>
      </c>
      <c r="J131">
        <f>IF(G131&gt;=5000,5,IF(G131&gt;=4000,4,IF(G131&gt;=3000,3,IF(G131&gt;=2000,2,1))))</f>
        <v>1</v>
      </c>
      <c r="K131" t="str">
        <f>H131&amp;I131&amp;J131</f>
        <v>311</v>
      </c>
      <c r="L131" t="str">
        <f>IF(AND(H131&gt;=4,I131&gt;=4,J131&gt;=4),"Champion",IF(AND(H131&gt;=3,I131&gt;=3,J131&gt;=3),"Loyal",IF(AND(H131&gt;=4,I131&lt;=2),"At Risk","Churn Risk")))</f>
        <v>Churn Risk</v>
      </c>
      <c r="M131" t="str" cm="1">
        <f t="array" ref="M131">_xlfn.XLOOKUP(1,(Gym_data!$C:$C=$A131)*(Gym_data!$B:$B=$B131),Gym_data!$F:$F)</f>
        <v>Monthly</v>
      </c>
    </row>
    <row r="132" spans="1:13" x14ac:dyDescent="0.3">
      <c r="A132" t="s">
        <v>364</v>
      </c>
      <c r="B132" s="2">
        <f>_xlfn.MAXIFS(Gym_data!$B:$B,Gym_data!$C:$C,$A132)</f>
        <v>45810</v>
      </c>
      <c r="C132" s="2">
        <f>IF(M132="Monthly",B132+30,IF(M132="3 Months",B132+90,
 IF(M132="6 Months",B132+180,
 IF(M132="Yearly",B132+365,"Check Plan"))))</f>
        <v>45840</v>
      </c>
      <c r="D132" t="str">
        <f>IF($O$4&lt;=C132,"Active",IF($O$4-C132&lt;=30,"At Risk","Churn Risk"))</f>
        <v>Churn Risk</v>
      </c>
      <c r="E132">
        <f xml:space="preserve"> $O$4 - B132</f>
        <v>90</v>
      </c>
      <c r="F132">
        <f>COUNTIF(Gym_data!C:C, A132)</f>
        <v>1</v>
      </c>
      <c r="G132">
        <f>SUMIF(Gym_data!C:C, A132, Gym_data!E:E)</f>
        <v>1000</v>
      </c>
      <c r="H132">
        <f>IF(E132&lt;=30,5,IF(E132&lt;=60,4,IF(E132&lt;=90,3,IF(E132&lt;=120,2,1))))</f>
        <v>3</v>
      </c>
      <c r="I132">
        <f>IF(F132&gt;=5,5, IF(F132&gt;=4,4,IF(F132&gt;=3,3,IF(F132&gt;=2,2,1))))</f>
        <v>1</v>
      </c>
      <c r="J132">
        <f>IF(G132&gt;=5000,5,IF(G132&gt;=4000,4,IF(G132&gt;=3000,3,IF(G132&gt;=2000,2,1))))</f>
        <v>1</v>
      </c>
      <c r="K132" t="str">
        <f>H132&amp;I132&amp;J132</f>
        <v>311</v>
      </c>
      <c r="L132" t="str">
        <f>IF(AND(H132&gt;=4,I132&gt;=4,J132&gt;=4),"Champion",IF(AND(H132&gt;=3,I132&gt;=3,J132&gt;=3),"Loyal",IF(AND(H132&gt;=4,I132&lt;=2),"At Risk","Churn Risk")))</f>
        <v>Churn Risk</v>
      </c>
      <c r="M132" t="str" cm="1">
        <f t="array" ref="M132">_xlfn.XLOOKUP(1,(Gym_data!$C:$C=$A132)*(Gym_data!$B:$B=$B132),Gym_data!$F:$F)</f>
        <v>Monthly</v>
      </c>
    </row>
    <row r="133" spans="1:13" x14ac:dyDescent="0.3">
      <c r="A133" t="s">
        <v>367</v>
      </c>
      <c r="B133" s="2">
        <f>_xlfn.MAXIFS(Gym_data!$B:$B,Gym_data!$C:$C,$A133)</f>
        <v>45819</v>
      </c>
      <c r="C133" s="2">
        <f>IF(M133="Monthly",B133+30,IF(M133="3 Months",B133+90,
 IF(M133="6 Months",B133+180,
 IF(M133="Yearly",B133+365,"Check Plan"))))</f>
        <v>45849</v>
      </c>
      <c r="D133" t="str">
        <f>IF($O$4&lt;=C133,"Active",IF($O$4-C133&lt;=30,"At Risk","Churn Risk"))</f>
        <v>Churn Risk</v>
      </c>
      <c r="E133">
        <f xml:space="preserve"> $O$4 - B133</f>
        <v>81</v>
      </c>
      <c r="F133">
        <f>COUNTIF(Gym_data!C:C, A133)</f>
        <v>1</v>
      </c>
      <c r="G133">
        <f>SUMIF(Gym_data!C:C, A133, Gym_data!E:E)</f>
        <v>1000</v>
      </c>
      <c r="H133">
        <f>IF(E133&lt;=30,5,IF(E133&lt;=60,4,IF(E133&lt;=90,3,IF(E133&lt;=120,2,1))))</f>
        <v>3</v>
      </c>
      <c r="I133">
        <f>IF(F133&gt;=5,5, IF(F133&gt;=4,4,IF(F133&gt;=3,3,IF(F133&gt;=2,2,1))))</f>
        <v>1</v>
      </c>
      <c r="J133">
        <f>IF(G133&gt;=5000,5,IF(G133&gt;=4000,4,IF(G133&gt;=3000,3,IF(G133&gt;=2000,2,1))))</f>
        <v>1</v>
      </c>
      <c r="K133" t="str">
        <f>H133&amp;I133&amp;J133</f>
        <v>311</v>
      </c>
      <c r="L133" t="str">
        <f>IF(AND(H133&gt;=4,I133&gt;=4,J133&gt;=4),"Champion",IF(AND(H133&gt;=3,I133&gt;=3,J133&gt;=3),"Loyal",IF(AND(H133&gt;=4,I133&lt;=2),"At Risk","Churn Risk")))</f>
        <v>Churn Risk</v>
      </c>
      <c r="M133" t="str" cm="1">
        <f t="array" ref="M133">_xlfn.XLOOKUP(1,(Gym_data!$C:$C=$A133)*(Gym_data!$B:$B=$B133),Gym_data!$F:$F)</f>
        <v>Monthly</v>
      </c>
    </row>
    <row r="134" spans="1:13" x14ac:dyDescent="0.3">
      <c r="A134" t="s">
        <v>370</v>
      </c>
      <c r="B134" s="2">
        <f>_xlfn.MAXIFS(Gym_data!$B:$B,Gym_data!$C:$C,$A134)</f>
        <v>45839</v>
      </c>
      <c r="C134" s="2">
        <f>IF(M134="Monthly",B134+30,IF(M134="3 Months",B134+90,
 IF(M134="6 Months",B134+180,
 IF(M134="Yearly",B134+365,"Check Plan"))))</f>
        <v>45869</v>
      </c>
      <c r="D134" t="str">
        <f>IF($O$4&lt;=C134,"Active",IF($O$4-C134&lt;=30,"At Risk","Churn Risk"))</f>
        <v>Churn Risk</v>
      </c>
      <c r="E134">
        <f xml:space="preserve"> $O$4 - B134</f>
        <v>61</v>
      </c>
      <c r="F134">
        <f>COUNTIF(Gym_data!C:C, A134)</f>
        <v>1</v>
      </c>
      <c r="G134">
        <f>SUMIF(Gym_data!C:C, A134, Gym_data!E:E)</f>
        <v>1000</v>
      </c>
      <c r="H134">
        <f>IF(E134&lt;=30,5,IF(E134&lt;=60,4,IF(E134&lt;=90,3,IF(E134&lt;=120,2,1))))</f>
        <v>3</v>
      </c>
      <c r="I134">
        <f>IF(F134&gt;=5,5, IF(F134&gt;=4,4,IF(F134&gt;=3,3,IF(F134&gt;=2,2,1))))</f>
        <v>1</v>
      </c>
      <c r="J134">
        <f>IF(G134&gt;=5000,5,IF(G134&gt;=4000,4,IF(G134&gt;=3000,3,IF(G134&gt;=2000,2,1))))</f>
        <v>1</v>
      </c>
      <c r="K134" t="str">
        <f>H134&amp;I134&amp;J134</f>
        <v>311</v>
      </c>
      <c r="L134" t="str">
        <f>IF(AND(H134&gt;=4,I134&gt;=4,J134&gt;=4),"Champion",IF(AND(H134&gt;=3,I134&gt;=3,J134&gt;=3),"Loyal",IF(AND(H134&gt;=4,I134&lt;=2),"At Risk","Churn Risk")))</f>
        <v>Churn Risk</v>
      </c>
      <c r="M134" t="str" cm="1">
        <f t="array" ref="M134">_xlfn.XLOOKUP(1,(Gym_data!$C:$C=$A134)*(Gym_data!$B:$B=$B134),Gym_data!$F:$F)</f>
        <v>Monthly</v>
      </c>
    </row>
    <row r="135" spans="1:13" x14ac:dyDescent="0.3">
      <c r="A135" t="s">
        <v>371</v>
      </c>
      <c r="B135" s="2">
        <f>_xlfn.MAXIFS(Gym_data!$B:$B,Gym_data!$C:$C,$A135)</f>
        <v>45839</v>
      </c>
      <c r="C135" s="2">
        <f>IF(M135="Monthly",B135+30,IF(M135="3 Months",B135+90,
 IF(M135="6 Months",B135+180,
 IF(M135="Yearly",B135+365,"Check Plan"))))</f>
        <v>45869</v>
      </c>
      <c r="D135" t="str">
        <f>IF($O$4&lt;=C135,"Active",IF($O$4-C135&lt;=30,"At Risk","Churn Risk"))</f>
        <v>Churn Risk</v>
      </c>
      <c r="E135">
        <f xml:space="preserve"> $O$4 - B135</f>
        <v>61</v>
      </c>
      <c r="F135">
        <f>COUNTIF(Gym_data!C:C, A135)</f>
        <v>1</v>
      </c>
      <c r="G135">
        <f>SUMIF(Gym_data!C:C, A135, Gym_data!E:E)</f>
        <v>1000</v>
      </c>
      <c r="H135">
        <f>IF(E135&lt;=30,5,IF(E135&lt;=60,4,IF(E135&lt;=90,3,IF(E135&lt;=120,2,1))))</f>
        <v>3</v>
      </c>
      <c r="I135">
        <f>IF(F135&gt;=5,5, IF(F135&gt;=4,4,IF(F135&gt;=3,3,IF(F135&gt;=2,2,1))))</f>
        <v>1</v>
      </c>
      <c r="J135">
        <f>IF(G135&gt;=5000,5,IF(G135&gt;=4000,4,IF(G135&gt;=3000,3,IF(G135&gt;=2000,2,1))))</f>
        <v>1</v>
      </c>
      <c r="K135" t="str">
        <f>H135&amp;I135&amp;J135</f>
        <v>311</v>
      </c>
      <c r="L135" t="str">
        <f>IF(AND(H135&gt;=4,I135&gt;=4,J135&gt;=4),"Champion",IF(AND(H135&gt;=3,I135&gt;=3,J135&gt;=3),"Loyal",IF(AND(H135&gt;=4,I135&lt;=2),"At Risk","Churn Risk")))</f>
        <v>Churn Risk</v>
      </c>
      <c r="M135" t="str" cm="1">
        <f t="array" ref="M135">_xlfn.XLOOKUP(1,(Gym_data!$C:$C=$A135)*(Gym_data!$B:$B=$B135),Gym_data!$F:$F)</f>
        <v>Monthly</v>
      </c>
    </row>
    <row r="136" spans="1:13" x14ac:dyDescent="0.3">
      <c r="A136" t="s">
        <v>380</v>
      </c>
      <c r="B136" s="2">
        <f>_xlfn.MAXIFS(Gym_data!$B:$B,Gym_data!$C:$C,$A136)</f>
        <v>45831</v>
      </c>
      <c r="C136" s="2">
        <f>IF(M136="Monthly",B136+30,IF(M136="3 Months",B136+90,
 IF(M136="6 Months",B136+180,
 IF(M136="Yearly",B136+365,"Check Plan"))))</f>
        <v>45861</v>
      </c>
      <c r="D136" t="str">
        <f>IF($O$4&lt;=C136,"Active",IF($O$4-C136&lt;=30,"At Risk","Churn Risk"))</f>
        <v>Churn Risk</v>
      </c>
      <c r="E136">
        <f xml:space="preserve"> $O$4 - B136</f>
        <v>69</v>
      </c>
      <c r="F136">
        <f>COUNTIF(Gym_data!C:C, A136)</f>
        <v>1</v>
      </c>
      <c r="G136">
        <f>SUMIF(Gym_data!C:C, A136, Gym_data!E:E)</f>
        <v>1000</v>
      </c>
      <c r="H136">
        <f>IF(E136&lt;=30,5,IF(E136&lt;=60,4,IF(E136&lt;=90,3,IF(E136&lt;=120,2,1))))</f>
        <v>3</v>
      </c>
      <c r="I136">
        <f>IF(F136&gt;=5,5, IF(F136&gt;=4,4,IF(F136&gt;=3,3,IF(F136&gt;=2,2,1))))</f>
        <v>1</v>
      </c>
      <c r="J136">
        <f>IF(G136&gt;=5000,5,IF(G136&gt;=4000,4,IF(G136&gt;=3000,3,IF(G136&gt;=2000,2,1))))</f>
        <v>1</v>
      </c>
      <c r="K136" t="str">
        <f>H136&amp;I136&amp;J136</f>
        <v>311</v>
      </c>
      <c r="L136" t="str">
        <f>IF(AND(H136&gt;=4,I136&gt;=4,J136&gt;=4),"Champion",IF(AND(H136&gt;=3,I136&gt;=3,J136&gt;=3),"Loyal",IF(AND(H136&gt;=4,I136&lt;=2),"At Risk","Churn Risk")))</f>
        <v>Churn Risk</v>
      </c>
      <c r="M136" t="str" cm="1">
        <f t="array" ref="M136">_xlfn.XLOOKUP(1,(Gym_data!$C:$C=$A136)*(Gym_data!$B:$B=$B136),Gym_data!$F:$F)</f>
        <v>Monthly</v>
      </c>
    </row>
    <row r="137" spans="1:13" x14ac:dyDescent="0.3">
      <c r="A137" t="s">
        <v>382</v>
      </c>
      <c r="B137" s="2">
        <f>_xlfn.MAXIFS(Gym_data!$B:$B,Gym_data!$C:$C,$A137)</f>
        <v>45818</v>
      </c>
      <c r="C137" s="2">
        <f>IF(M137="Monthly",B137+30,IF(M137="3 Months",B137+90,
 IF(M137="6 Months",B137+180,
 IF(M137="Yearly",B137+365,"Check Plan"))))</f>
        <v>45848</v>
      </c>
      <c r="D137" t="str">
        <f>IF($O$4&lt;=C137,"Active",IF($O$4-C137&lt;=30,"At Risk","Churn Risk"))</f>
        <v>Churn Risk</v>
      </c>
      <c r="E137">
        <f xml:space="preserve"> $O$4 - B137</f>
        <v>82</v>
      </c>
      <c r="F137">
        <f>COUNTIF(Gym_data!C:C, A137)</f>
        <v>1</v>
      </c>
      <c r="G137">
        <f>SUMIF(Gym_data!C:C, A137, Gym_data!E:E)</f>
        <v>1000</v>
      </c>
      <c r="H137">
        <f>IF(E137&lt;=30,5,IF(E137&lt;=60,4,IF(E137&lt;=90,3,IF(E137&lt;=120,2,1))))</f>
        <v>3</v>
      </c>
      <c r="I137">
        <f>IF(F137&gt;=5,5, IF(F137&gt;=4,4,IF(F137&gt;=3,3,IF(F137&gt;=2,2,1))))</f>
        <v>1</v>
      </c>
      <c r="J137">
        <f>IF(G137&gt;=5000,5,IF(G137&gt;=4000,4,IF(G137&gt;=3000,3,IF(G137&gt;=2000,2,1))))</f>
        <v>1</v>
      </c>
      <c r="K137" t="str">
        <f>H137&amp;I137&amp;J137</f>
        <v>311</v>
      </c>
      <c r="L137" t="str">
        <f>IF(AND(H137&gt;=4,I137&gt;=4,J137&gt;=4),"Champion",IF(AND(H137&gt;=3,I137&gt;=3,J137&gt;=3),"Loyal",IF(AND(H137&gt;=4,I137&lt;=2),"At Risk","Churn Risk")))</f>
        <v>Churn Risk</v>
      </c>
      <c r="M137" t="str" cm="1">
        <f t="array" ref="M137">_xlfn.XLOOKUP(1,(Gym_data!$C:$C=$A137)*(Gym_data!$B:$B=$B137),Gym_data!$F:$F)</f>
        <v>Monthly</v>
      </c>
    </row>
    <row r="138" spans="1:13" x14ac:dyDescent="0.3">
      <c r="A138" t="s">
        <v>387</v>
      </c>
      <c r="B138" s="2">
        <f>_xlfn.MAXIFS(Gym_data!$B:$B,Gym_data!$C:$C,$A138)</f>
        <v>45815</v>
      </c>
      <c r="C138" s="2">
        <f>IF(M138="Monthly",B138+30,IF(M138="3 Months",B138+90,
 IF(M138="6 Months",B138+180,
 IF(M138="Yearly",B138+365,"Check Plan"))))</f>
        <v>45845</v>
      </c>
      <c r="D138" t="str">
        <f>IF($O$4&lt;=C138,"Active",IF($O$4-C138&lt;=30,"At Risk","Churn Risk"))</f>
        <v>Churn Risk</v>
      </c>
      <c r="E138">
        <f xml:space="preserve"> $O$4 - B138</f>
        <v>85</v>
      </c>
      <c r="F138">
        <f>COUNTIF(Gym_data!C:C, A138)</f>
        <v>1</v>
      </c>
      <c r="G138">
        <f>SUMIF(Gym_data!C:C, A138, Gym_data!E:E)</f>
        <v>1000</v>
      </c>
      <c r="H138">
        <f>IF(E138&lt;=30,5,IF(E138&lt;=60,4,IF(E138&lt;=90,3,IF(E138&lt;=120,2,1))))</f>
        <v>3</v>
      </c>
      <c r="I138">
        <f>IF(F138&gt;=5,5, IF(F138&gt;=4,4,IF(F138&gt;=3,3,IF(F138&gt;=2,2,1))))</f>
        <v>1</v>
      </c>
      <c r="J138">
        <f>IF(G138&gt;=5000,5,IF(G138&gt;=4000,4,IF(G138&gt;=3000,3,IF(G138&gt;=2000,2,1))))</f>
        <v>1</v>
      </c>
      <c r="K138" t="str">
        <f>H138&amp;I138&amp;J138</f>
        <v>311</v>
      </c>
      <c r="L138" t="str">
        <f>IF(AND(H138&gt;=4,I138&gt;=4,J138&gt;=4),"Champion",IF(AND(H138&gt;=3,I138&gt;=3,J138&gt;=3),"Loyal",IF(AND(H138&gt;=4,I138&lt;=2),"At Risk","Churn Risk")))</f>
        <v>Churn Risk</v>
      </c>
      <c r="M138" t="str" cm="1">
        <f t="array" ref="M138">_xlfn.XLOOKUP(1,(Gym_data!$C:$C=$A138)*(Gym_data!$B:$B=$B138),Gym_data!$F:$F)</f>
        <v>Monthly</v>
      </c>
    </row>
    <row r="139" spans="1:13" x14ac:dyDescent="0.3">
      <c r="A139" t="s">
        <v>410</v>
      </c>
      <c r="B139" s="2">
        <f>_xlfn.MAXIFS(Gym_data!$B:$B,Gym_data!$C:$C,$A139)</f>
        <v>45811</v>
      </c>
      <c r="C139" s="2">
        <f>IF(M139="Monthly",B139+30,IF(M139="3 Months",B139+90,
 IF(M139="6 Months",B139+180,
 IF(M139="Yearly",B139+365,"Check Plan"))))</f>
        <v>45841</v>
      </c>
      <c r="D139" t="str">
        <f>IF($O$4&lt;=C139,"Active",IF($O$4-C139&lt;=30,"At Risk","Churn Risk"))</f>
        <v>Churn Risk</v>
      </c>
      <c r="E139">
        <f xml:space="preserve"> $O$4 - B139</f>
        <v>89</v>
      </c>
      <c r="F139">
        <f>COUNTIF(Gym_data!C:C, A139)</f>
        <v>1</v>
      </c>
      <c r="G139">
        <f>SUMIF(Gym_data!C:C, A139, Gym_data!E:E)</f>
        <v>1000</v>
      </c>
      <c r="H139">
        <f>IF(E139&lt;=30,5,IF(E139&lt;=60,4,IF(E139&lt;=90,3,IF(E139&lt;=120,2,1))))</f>
        <v>3</v>
      </c>
      <c r="I139">
        <f>IF(F139&gt;=5,5, IF(F139&gt;=4,4,IF(F139&gt;=3,3,IF(F139&gt;=2,2,1))))</f>
        <v>1</v>
      </c>
      <c r="J139">
        <f>IF(G139&gt;=5000,5,IF(G139&gt;=4000,4,IF(G139&gt;=3000,3,IF(G139&gt;=2000,2,1))))</f>
        <v>1</v>
      </c>
      <c r="K139" t="str">
        <f>H139&amp;I139&amp;J139</f>
        <v>311</v>
      </c>
      <c r="L139" t="str">
        <f>IF(AND(H139&gt;=4,I139&gt;=4,J139&gt;=4),"Champion",IF(AND(H139&gt;=3,I139&gt;=3,J139&gt;=3),"Loyal",IF(AND(H139&gt;=4,I139&lt;=2),"At Risk","Churn Risk")))</f>
        <v>Churn Risk</v>
      </c>
      <c r="M139" t="str" cm="1">
        <f t="array" ref="M139">_xlfn.XLOOKUP(1,(Gym_data!$C:$C=$A139)*(Gym_data!$B:$B=$B139),Gym_data!$F:$F)</f>
        <v>Monthly</v>
      </c>
    </row>
    <row r="140" spans="1:13" x14ac:dyDescent="0.3">
      <c r="A140" t="s">
        <v>324</v>
      </c>
      <c r="B140" s="2">
        <f>_xlfn.MAXIFS(Gym_data!$B:$B,Gym_data!$C:$C,$A140)</f>
        <v>45789</v>
      </c>
      <c r="C140" s="2">
        <f>IF(M140="Monthly",B140+30,IF(M140="3 Months",B140+90,
 IF(M140="6 Months",B140+180,
 IF(M140="Yearly",B140+365,"Check Plan"))))</f>
        <v>45819</v>
      </c>
      <c r="D140" t="str">
        <f>IF($O$4&lt;=C140,"Active",IF($O$4-C140&lt;=30,"At Risk","Churn Risk"))</f>
        <v>Churn Risk</v>
      </c>
      <c r="E140">
        <f xml:space="preserve"> $O$4 - B140</f>
        <v>111</v>
      </c>
      <c r="F140">
        <f>COUNTIF(Gym_data!C:C, A140)</f>
        <v>2</v>
      </c>
      <c r="G140">
        <f>SUMIF(Gym_data!C:C, A140, Gym_data!E:E)</f>
        <v>3000</v>
      </c>
      <c r="H140">
        <f>IF(E140&lt;=30,5,IF(E140&lt;=60,4,IF(E140&lt;=90,3,IF(E140&lt;=120,2,1))))</f>
        <v>2</v>
      </c>
      <c r="I140">
        <f>IF(F140&gt;=5,5, IF(F140&gt;=4,4,IF(F140&gt;=3,3,IF(F140&gt;=2,2,1))))</f>
        <v>2</v>
      </c>
      <c r="J140">
        <f>IF(G140&gt;=5000,5,IF(G140&gt;=4000,4,IF(G140&gt;=3000,3,IF(G140&gt;=2000,2,1))))</f>
        <v>3</v>
      </c>
      <c r="K140" t="str">
        <f>H140&amp;I140&amp;J140</f>
        <v>223</v>
      </c>
      <c r="L140" t="str">
        <f>IF(AND(H140&gt;=4,I140&gt;=4,J140&gt;=4),"Champion",IF(AND(H140&gt;=3,I140&gt;=3,J140&gt;=3),"Loyal",IF(AND(H140&gt;=4,I140&lt;=2),"At Risk","Churn Risk")))</f>
        <v>Churn Risk</v>
      </c>
      <c r="M140" t="str" cm="1">
        <f t="array" ref="M140">_xlfn.XLOOKUP(1,(Gym_data!$C:$C=$A140)*(Gym_data!$B:$B=$B140),Gym_data!$F:$F)</f>
        <v>Monthly</v>
      </c>
    </row>
    <row r="141" spans="1:13" x14ac:dyDescent="0.3">
      <c r="A141" t="s">
        <v>224</v>
      </c>
      <c r="B141" s="2">
        <f>_xlfn.MAXIFS(Gym_data!$B:$B,Gym_data!$C:$C,$A141)</f>
        <v>45793</v>
      </c>
      <c r="C141" s="2">
        <f>IF(M141="Monthly",B141+30,IF(M141="3 Months",B141+90,
 IF(M141="6 Months",B141+180,
 IF(M141="Yearly",B141+365,"Check Plan"))))</f>
        <v>45823</v>
      </c>
      <c r="D141" t="str">
        <f>IF($O$4&lt;=C141,"Active",IF($O$4-C141&lt;=30,"At Risk","Churn Risk"))</f>
        <v>Churn Risk</v>
      </c>
      <c r="E141">
        <f xml:space="preserve"> $O$4 - B141</f>
        <v>107</v>
      </c>
      <c r="F141">
        <f>COUNTIF(Gym_data!C:C, A141)</f>
        <v>2</v>
      </c>
      <c r="G141">
        <f>SUMIF(Gym_data!C:C, A141, Gym_data!E:E)</f>
        <v>2000</v>
      </c>
      <c r="H141">
        <f>IF(E141&lt;=30,5,IF(E141&lt;=60,4,IF(E141&lt;=90,3,IF(E141&lt;=120,2,1))))</f>
        <v>2</v>
      </c>
      <c r="I141">
        <f>IF(F141&gt;=5,5, IF(F141&gt;=4,4,IF(F141&gt;=3,3,IF(F141&gt;=2,2,1))))</f>
        <v>2</v>
      </c>
      <c r="J141">
        <f>IF(G141&gt;=5000,5,IF(G141&gt;=4000,4,IF(G141&gt;=3000,3,IF(G141&gt;=2000,2,1))))</f>
        <v>2</v>
      </c>
      <c r="K141" t="str">
        <f>H141&amp;I141&amp;J141</f>
        <v>222</v>
      </c>
      <c r="L141" t="str">
        <f>IF(AND(H141&gt;=4,I141&gt;=4,J141&gt;=4),"Champion",IF(AND(H141&gt;=3,I141&gt;=3,J141&gt;=3),"Loyal",IF(AND(H141&gt;=4,I141&lt;=2),"At Risk","Churn Risk")))</f>
        <v>Churn Risk</v>
      </c>
      <c r="M141" t="str" cm="1">
        <f t="array" ref="M141">_xlfn.XLOOKUP(1,(Gym_data!$C:$C=$A141)*(Gym_data!$B:$B=$B141),Gym_data!$F:$F)</f>
        <v>Monthly</v>
      </c>
    </row>
    <row r="142" spans="1:13" x14ac:dyDescent="0.3">
      <c r="A142" t="s">
        <v>249</v>
      </c>
      <c r="B142" s="2">
        <f>_xlfn.MAXIFS(Gym_data!$B:$B,Gym_data!$C:$C,$A142)</f>
        <v>45785</v>
      </c>
      <c r="C142" s="2">
        <f>IF(M142="Monthly",B142+30,IF(M142="3 Months",B142+90,
 IF(M142="6 Months",B142+180,
 IF(M142="Yearly",B142+365,"Check Plan"))))</f>
        <v>45815</v>
      </c>
      <c r="D142" t="str">
        <f>IF($O$4&lt;=C142,"Active",IF($O$4-C142&lt;=30,"At Risk","Churn Risk"))</f>
        <v>Churn Risk</v>
      </c>
      <c r="E142">
        <f xml:space="preserve"> $O$4 - B142</f>
        <v>115</v>
      </c>
      <c r="F142">
        <f>COUNTIF(Gym_data!C:C, A142)</f>
        <v>2</v>
      </c>
      <c r="G142">
        <f>SUMIF(Gym_data!C:C, A142, Gym_data!E:E)</f>
        <v>2000</v>
      </c>
      <c r="H142">
        <f>IF(E142&lt;=30,5,IF(E142&lt;=60,4,IF(E142&lt;=90,3,IF(E142&lt;=120,2,1))))</f>
        <v>2</v>
      </c>
      <c r="I142">
        <f>IF(F142&gt;=5,5, IF(F142&gt;=4,4,IF(F142&gt;=3,3,IF(F142&gt;=2,2,1))))</f>
        <v>2</v>
      </c>
      <c r="J142">
        <f>IF(G142&gt;=5000,5,IF(G142&gt;=4000,4,IF(G142&gt;=3000,3,IF(G142&gt;=2000,2,1))))</f>
        <v>2</v>
      </c>
      <c r="K142" t="str">
        <f>H142&amp;I142&amp;J142</f>
        <v>222</v>
      </c>
      <c r="L142" t="str">
        <f>IF(AND(H142&gt;=4,I142&gt;=4,J142&gt;=4),"Champion",IF(AND(H142&gt;=3,I142&gt;=3,J142&gt;=3),"Loyal",IF(AND(H142&gt;=4,I142&lt;=2),"At Risk","Churn Risk")))</f>
        <v>Churn Risk</v>
      </c>
      <c r="M142" t="str" cm="1">
        <f t="array" ref="M142">_xlfn.XLOOKUP(1,(Gym_data!$C:$C=$A142)*(Gym_data!$B:$B=$B142),Gym_data!$F:$F)</f>
        <v>Monthly</v>
      </c>
    </row>
    <row r="143" spans="1:13" x14ac:dyDescent="0.3">
      <c r="A143" t="s">
        <v>258</v>
      </c>
      <c r="B143" s="2">
        <f>_xlfn.MAXIFS(Gym_data!$B:$B,Gym_data!$C:$C,$A143)</f>
        <v>45786</v>
      </c>
      <c r="C143" s="2">
        <f>IF(M143="Monthly",B143+30,IF(M143="3 Months",B143+90,
 IF(M143="6 Months",B143+180,
 IF(M143="Yearly",B143+365,"Check Plan"))))</f>
        <v>45816</v>
      </c>
      <c r="D143" t="str">
        <f>IF($O$4&lt;=C143,"Active",IF($O$4-C143&lt;=30,"At Risk","Churn Risk"))</f>
        <v>Churn Risk</v>
      </c>
      <c r="E143">
        <f xml:space="preserve"> $O$4 - B143</f>
        <v>114</v>
      </c>
      <c r="F143">
        <f>COUNTIF(Gym_data!C:C, A143)</f>
        <v>2</v>
      </c>
      <c r="G143">
        <f>SUMIF(Gym_data!C:C, A143, Gym_data!E:E)</f>
        <v>2000</v>
      </c>
      <c r="H143">
        <f>IF(E143&lt;=30,5,IF(E143&lt;=60,4,IF(E143&lt;=90,3,IF(E143&lt;=120,2,1))))</f>
        <v>2</v>
      </c>
      <c r="I143">
        <f>IF(F143&gt;=5,5, IF(F143&gt;=4,4,IF(F143&gt;=3,3,IF(F143&gt;=2,2,1))))</f>
        <v>2</v>
      </c>
      <c r="J143">
        <f>IF(G143&gt;=5000,5,IF(G143&gt;=4000,4,IF(G143&gt;=3000,3,IF(G143&gt;=2000,2,1))))</f>
        <v>2</v>
      </c>
      <c r="K143" t="str">
        <f>H143&amp;I143&amp;J143</f>
        <v>222</v>
      </c>
      <c r="L143" t="str">
        <f>IF(AND(H143&gt;=4,I143&gt;=4,J143&gt;=4),"Champion",IF(AND(H143&gt;=3,I143&gt;=3,J143&gt;=3),"Loyal",IF(AND(H143&gt;=4,I143&lt;=2),"At Risk","Churn Risk")))</f>
        <v>Churn Risk</v>
      </c>
      <c r="M143" t="str" cm="1">
        <f t="array" ref="M143">_xlfn.XLOOKUP(1,(Gym_data!$C:$C=$A143)*(Gym_data!$B:$B=$B143),Gym_data!$F:$F)</f>
        <v>Monthly</v>
      </c>
    </row>
    <row r="144" spans="1:13" x14ac:dyDescent="0.3">
      <c r="A144" t="s">
        <v>385</v>
      </c>
      <c r="B144" s="2">
        <f>_xlfn.MAXIFS(Gym_data!$B:$B,Gym_data!$C:$C,$A144)</f>
        <v>45783</v>
      </c>
      <c r="C144" s="2">
        <f>IF(M144="Monthly",B144+30,IF(M144="3 Months",B144+90,
 IF(M144="6 Months",B144+180,
 IF(M144="Yearly",B144+365,"Check Plan"))))</f>
        <v>45813</v>
      </c>
      <c r="D144" t="str">
        <f>IF($O$4&lt;=C144,"Active",IF($O$4-C144&lt;=30,"At Risk","Churn Risk"))</f>
        <v>Churn Risk</v>
      </c>
      <c r="E144">
        <f xml:space="preserve"> $O$4 - B144</f>
        <v>117</v>
      </c>
      <c r="F144">
        <f>COUNTIF(Gym_data!C:C, A144)</f>
        <v>2</v>
      </c>
      <c r="G144">
        <f>SUMIF(Gym_data!C:C, A144, Gym_data!E:E)</f>
        <v>2000</v>
      </c>
      <c r="H144">
        <f>IF(E144&lt;=30,5,IF(E144&lt;=60,4,IF(E144&lt;=90,3,IF(E144&lt;=120,2,1))))</f>
        <v>2</v>
      </c>
      <c r="I144">
        <f>IF(F144&gt;=5,5, IF(F144&gt;=4,4,IF(F144&gt;=3,3,IF(F144&gt;=2,2,1))))</f>
        <v>2</v>
      </c>
      <c r="J144">
        <f>IF(G144&gt;=5000,5,IF(G144&gt;=4000,4,IF(G144&gt;=3000,3,IF(G144&gt;=2000,2,1))))</f>
        <v>2</v>
      </c>
      <c r="K144" t="str">
        <f>H144&amp;I144&amp;J144</f>
        <v>222</v>
      </c>
      <c r="L144" t="str">
        <f>IF(AND(H144&gt;=4,I144&gt;=4,J144&gt;=4),"Champion",IF(AND(H144&gt;=3,I144&gt;=3,J144&gt;=3),"Loyal",IF(AND(H144&gt;=4,I144&lt;=2),"At Risk","Churn Risk")))</f>
        <v>Churn Risk</v>
      </c>
      <c r="M144" t="str" cm="1">
        <f t="array" ref="M144">_xlfn.XLOOKUP(1,(Gym_data!$C:$C=$A144)*(Gym_data!$B:$B=$B144),Gym_data!$F:$F)</f>
        <v>Monthly</v>
      </c>
    </row>
    <row r="145" spans="1:13" x14ac:dyDescent="0.3">
      <c r="A145" t="s">
        <v>409</v>
      </c>
      <c r="B145" s="2">
        <f>_xlfn.MAXIFS(Gym_data!$B:$B,Gym_data!$C:$C,$A145)</f>
        <v>45796</v>
      </c>
      <c r="C145" s="2">
        <f>IF(M145="Monthly",B145+30,IF(M145="3 Months",B145+90,
 IF(M145="6 Months",B145+180,
 IF(M145="Yearly",B145+365,"Check Plan"))))</f>
        <v>45826</v>
      </c>
      <c r="D145" t="str">
        <f>IF($O$4&lt;=C145,"Active",IF($O$4-C145&lt;=30,"At Risk","Churn Risk"))</f>
        <v>Churn Risk</v>
      </c>
      <c r="E145">
        <f xml:space="preserve"> $O$4 - B145</f>
        <v>104</v>
      </c>
      <c r="F145">
        <f>COUNTIF(Gym_data!C:C, A145)</f>
        <v>2</v>
      </c>
      <c r="G145">
        <f>SUMIF(Gym_data!C:C, A145, Gym_data!E:E)</f>
        <v>2000</v>
      </c>
      <c r="H145">
        <f>IF(E145&lt;=30,5,IF(E145&lt;=60,4,IF(E145&lt;=90,3,IF(E145&lt;=120,2,1))))</f>
        <v>2</v>
      </c>
      <c r="I145">
        <f>IF(F145&gt;=5,5, IF(F145&gt;=4,4,IF(F145&gt;=3,3,IF(F145&gt;=2,2,1))))</f>
        <v>2</v>
      </c>
      <c r="J145">
        <f>IF(G145&gt;=5000,5,IF(G145&gt;=4000,4,IF(G145&gt;=3000,3,IF(G145&gt;=2000,2,1))))</f>
        <v>2</v>
      </c>
      <c r="K145" t="str">
        <f>H145&amp;I145&amp;J145</f>
        <v>222</v>
      </c>
      <c r="L145" t="str">
        <f>IF(AND(H145&gt;=4,I145&gt;=4,J145&gt;=4),"Champion",IF(AND(H145&gt;=3,I145&gt;=3,J145&gt;=3),"Loyal",IF(AND(H145&gt;=4,I145&lt;=2),"At Risk","Churn Risk")))</f>
        <v>Churn Risk</v>
      </c>
      <c r="M145" t="str" cm="1">
        <f t="array" ref="M145">_xlfn.XLOOKUP(1,(Gym_data!$C:$C=$A145)*(Gym_data!$B:$B=$B145),Gym_data!$F:$F)</f>
        <v>Monthly</v>
      </c>
    </row>
    <row r="146" spans="1:13" x14ac:dyDescent="0.3">
      <c r="A146" t="s">
        <v>229</v>
      </c>
      <c r="B146" s="2">
        <f>_xlfn.MAXIFS(Gym_data!$B:$B,Gym_data!$C:$C,$A146)</f>
        <v>45796</v>
      </c>
      <c r="C146" s="2">
        <f>IF(M146="Monthly",B146+30,IF(M146="3 Months",B146+90,
 IF(M146="6 Months",B146+180,
 IF(M146="Yearly",B146+365,"Check Plan"))))</f>
        <v>45826</v>
      </c>
      <c r="D146" t="str">
        <f>IF($O$4&lt;=C146,"Active",IF($O$4-C146&lt;=30,"At Risk","Churn Risk"))</f>
        <v>Churn Risk</v>
      </c>
      <c r="E146">
        <f xml:space="preserve"> $O$4 - B146</f>
        <v>104</v>
      </c>
      <c r="F146">
        <f>COUNTIF(Gym_data!C:C, A146)</f>
        <v>2</v>
      </c>
      <c r="G146">
        <f>SUMIF(Gym_data!C:C, A146, Gym_data!E:E)</f>
        <v>1400</v>
      </c>
      <c r="H146">
        <f>IF(E146&lt;=30,5,IF(E146&lt;=60,4,IF(E146&lt;=90,3,IF(E146&lt;=120,2,1))))</f>
        <v>2</v>
      </c>
      <c r="I146">
        <f>IF(F146&gt;=5,5, IF(F146&gt;=4,4,IF(F146&gt;=3,3,IF(F146&gt;=2,2,1))))</f>
        <v>2</v>
      </c>
      <c r="J146">
        <f>IF(G146&gt;=5000,5,IF(G146&gt;=4000,4,IF(G146&gt;=3000,3,IF(G146&gt;=2000,2,1))))</f>
        <v>1</v>
      </c>
      <c r="K146" t="str">
        <f>H146&amp;I146&amp;J146</f>
        <v>221</v>
      </c>
      <c r="L146" t="str">
        <f>IF(AND(H146&gt;=4,I146&gt;=4,J146&gt;=4),"Champion",IF(AND(H146&gt;=3,I146&gt;=3,J146&gt;=3),"Loyal",IF(AND(H146&gt;=4,I146&lt;=2),"At Risk","Churn Risk")))</f>
        <v>Churn Risk</v>
      </c>
      <c r="M146" t="str" cm="1">
        <f t="array" ref="M146">_xlfn.XLOOKUP(1,(Gym_data!$C:$C=$A146)*(Gym_data!$B:$B=$B146),Gym_data!$F:$F)</f>
        <v>Monthly</v>
      </c>
    </row>
    <row r="147" spans="1:13" x14ac:dyDescent="0.3">
      <c r="A147" t="s">
        <v>330</v>
      </c>
      <c r="B147" s="2">
        <f>_xlfn.MAXIFS(Gym_data!$B:$B,Gym_data!$C:$C,$A147)</f>
        <v>45805</v>
      </c>
      <c r="C147" s="2">
        <f>IF(M147="Monthly",B147+30,IF(M147="3 Months",B147+90,
 IF(M147="6 Months",B147+180,
 IF(M147="Yearly",B147+365,"Check Plan"))))</f>
        <v>45835</v>
      </c>
      <c r="D147" t="str">
        <f>IF($O$4&lt;=C147,"Active",IF($O$4-C147&lt;=30,"At Risk","Churn Risk"))</f>
        <v>Churn Risk</v>
      </c>
      <c r="E147">
        <f xml:space="preserve"> $O$4 - B147</f>
        <v>95</v>
      </c>
      <c r="F147">
        <f>COUNTIF(Gym_data!C:C, A147)</f>
        <v>2</v>
      </c>
      <c r="G147">
        <f>SUMIF(Gym_data!C:C, A147, Gym_data!E:E)</f>
        <v>1400</v>
      </c>
      <c r="H147">
        <f>IF(E147&lt;=30,5,IF(E147&lt;=60,4,IF(E147&lt;=90,3,IF(E147&lt;=120,2,1))))</f>
        <v>2</v>
      </c>
      <c r="I147">
        <f>IF(F147&gt;=5,5, IF(F147&gt;=4,4,IF(F147&gt;=3,3,IF(F147&gt;=2,2,1))))</f>
        <v>2</v>
      </c>
      <c r="J147">
        <f>IF(G147&gt;=5000,5,IF(G147&gt;=4000,4,IF(G147&gt;=3000,3,IF(G147&gt;=2000,2,1))))</f>
        <v>1</v>
      </c>
      <c r="K147" t="str">
        <f>H147&amp;I147&amp;J147</f>
        <v>221</v>
      </c>
      <c r="L147" t="str">
        <f>IF(AND(H147&gt;=4,I147&gt;=4,J147&gt;=4),"Champion",IF(AND(H147&gt;=3,I147&gt;=3,J147&gt;=3),"Loyal",IF(AND(H147&gt;=4,I147&lt;=2),"At Risk","Churn Risk")))</f>
        <v>Churn Risk</v>
      </c>
      <c r="M147" t="str" cm="1">
        <f t="array" ref="M147">_xlfn.XLOOKUP(1,(Gym_data!$C:$C=$A147)*(Gym_data!$B:$B=$B147),Gym_data!$F:$F)</f>
        <v>Monthly</v>
      </c>
    </row>
    <row r="148" spans="1:13" x14ac:dyDescent="0.3">
      <c r="A148" t="s">
        <v>346</v>
      </c>
      <c r="B148" s="2">
        <f>_xlfn.MAXIFS(Gym_data!$B:$B,Gym_data!$C:$C,$A148)</f>
        <v>45796</v>
      </c>
      <c r="C148" s="2">
        <f>IF(M148="Monthly",B148+30,IF(M148="3 Months",B148+90,
 IF(M148="6 Months",B148+180,
 IF(M148="Yearly",B148+365,"Check Plan"))))</f>
        <v>45826</v>
      </c>
      <c r="D148" t="str">
        <f>IF($O$4&lt;=C148,"Active",IF($O$4-C148&lt;=30,"At Risk","Churn Risk"))</f>
        <v>Churn Risk</v>
      </c>
      <c r="E148">
        <f xml:space="preserve"> $O$4 - B148</f>
        <v>104</v>
      </c>
      <c r="F148">
        <f>COUNTIF(Gym_data!C:C, A148)</f>
        <v>2</v>
      </c>
      <c r="G148">
        <f>SUMIF(Gym_data!C:C, A148, Gym_data!E:E)</f>
        <v>1600</v>
      </c>
      <c r="H148">
        <f>IF(E148&lt;=30,5,IF(E148&lt;=60,4,IF(E148&lt;=90,3,IF(E148&lt;=120,2,1))))</f>
        <v>2</v>
      </c>
      <c r="I148">
        <f>IF(F148&gt;=5,5, IF(F148&gt;=4,4,IF(F148&gt;=3,3,IF(F148&gt;=2,2,1))))</f>
        <v>2</v>
      </c>
      <c r="J148">
        <f>IF(G148&gt;=5000,5,IF(G148&gt;=4000,4,IF(G148&gt;=3000,3,IF(G148&gt;=2000,2,1))))</f>
        <v>1</v>
      </c>
      <c r="K148" t="str">
        <f>H148&amp;I148&amp;J148</f>
        <v>221</v>
      </c>
      <c r="L148" t="str">
        <f>IF(AND(H148&gt;=4,I148&gt;=4,J148&gt;=4),"Champion",IF(AND(H148&gt;=3,I148&gt;=3,J148&gt;=3),"Loyal",IF(AND(H148&gt;=4,I148&lt;=2),"At Risk","Churn Risk")))</f>
        <v>Churn Risk</v>
      </c>
      <c r="M148" t="str" cm="1">
        <f t="array" ref="M148">_xlfn.XLOOKUP(1,(Gym_data!$C:$C=$A148)*(Gym_data!$B:$B=$B148),Gym_data!$F:$F)</f>
        <v>Monthly</v>
      </c>
    </row>
    <row r="149" spans="1:13" x14ac:dyDescent="0.3">
      <c r="A149" t="s">
        <v>286</v>
      </c>
      <c r="B149" s="2">
        <f>_xlfn.MAXIFS(Gym_data!$B:$B,Gym_data!$C:$C,$A149)</f>
        <v>45786</v>
      </c>
      <c r="C149" s="2">
        <f>IF(M149="Monthly",B149+30,IF(M149="3 Months",B149+90,
 IF(M149="6 Months",B149+180,
 IF(M149="Yearly",B149+365,"Check Plan"))))</f>
        <v>45876</v>
      </c>
      <c r="D149" t="str">
        <f>IF($O$4&lt;=C149,"Active",IF($O$4-C149&lt;=30,"At Risk","Churn Risk"))</f>
        <v>At Risk</v>
      </c>
      <c r="E149">
        <f xml:space="preserve"> $O$4 - B149</f>
        <v>114</v>
      </c>
      <c r="F149">
        <f>COUNTIF(Gym_data!C:C, A149)</f>
        <v>1</v>
      </c>
      <c r="G149">
        <f>SUMIF(Gym_data!C:C, A149, Gym_data!E:E)</f>
        <v>3000</v>
      </c>
      <c r="H149">
        <f>IF(E149&lt;=30,5,IF(E149&lt;=60,4,IF(E149&lt;=90,3,IF(E149&lt;=120,2,1))))</f>
        <v>2</v>
      </c>
      <c r="I149">
        <f>IF(F149&gt;=5,5, IF(F149&gt;=4,4,IF(F149&gt;=3,3,IF(F149&gt;=2,2,1))))</f>
        <v>1</v>
      </c>
      <c r="J149">
        <f>IF(G149&gt;=5000,5,IF(G149&gt;=4000,4,IF(G149&gt;=3000,3,IF(G149&gt;=2000,2,1))))</f>
        <v>3</v>
      </c>
      <c r="K149" t="str">
        <f>H149&amp;I149&amp;J149</f>
        <v>213</v>
      </c>
      <c r="L149" t="str">
        <f>IF(AND(H149&gt;=4,I149&gt;=4,J149&gt;=4),"Champion",IF(AND(H149&gt;=3,I149&gt;=3,J149&gt;=3),"Loyal",IF(AND(H149&gt;=4,I149&lt;=2),"At Risk","Churn Risk")))</f>
        <v>Churn Risk</v>
      </c>
      <c r="M149" t="str" cm="1">
        <f t="array" ref="M149">_xlfn.XLOOKUP(1,(Gym_data!$C:$C=$A149)*(Gym_data!$B:$B=$B149),Gym_data!$F:$F)</f>
        <v>3 Months</v>
      </c>
    </row>
    <row r="150" spans="1:13" x14ac:dyDescent="0.3">
      <c r="A150" t="s">
        <v>226</v>
      </c>
      <c r="B150" s="2">
        <f>_xlfn.MAXIFS(Gym_data!$B:$B,Gym_data!$C:$C,$A150)</f>
        <v>45786</v>
      </c>
      <c r="C150" s="2">
        <f>IF(M150="Monthly",B150+30,IF(M150="3 Months",B150+90,
 IF(M150="6 Months",B150+180,
 IF(M150="Yearly",B150+365,"Check Plan"))))</f>
        <v>45876</v>
      </c>
      <c r="D150" t="str">
        <f>IF($O$4&lt;=C150,"Active",IF($O$4-C150&lt;=30,"At Risk","Churn Risk"))</f>
        <v>At Risk</v>
      </c>
      <c r="E150">
        <f xml:space="preserve"> $O$4 - B150</f>
        <v>114</v>
      </c>
      <c r="F150">
        <f>COUNTIF(Gym_data!C:C, A150)</f>
        <v>1</v>
      </c>
      <c r="G150">
        <f>SUMIF(Gym_data!C:C, A150, Gym_data!E:E)</f>
        <v>2400</v>
      </c>
      <c r="H150">
        <f>IF(E150&lt;=30,5,IF(E150&lt;=60,4,IF(E150&lt;=90,3,IF(E150&lt;=120,2,1))))</f>
        <v>2</v>
      </c>
      <c r="I150">
        <f>IF(F150&gt;=5,5, IF(F150&gt;=4,4,IF(F150&gt;=3,3,IF(F150&gt;=2,2,1))))</f>
        <v>1</v>
      </c>
      <c r="J150">
        <f>IF(G150&gt;=5000,5,IF(G150&gt;=4000,4,IF(G150&gt;=3000,3,IF(G150&gt;=2000,2,1))))</f>
        <v>2</v>
      </c>
      <c r="K150" t="str">
        <f>H150&amp;I150&amp;J150</f>
        <v>212</v>
      </c>
      <c r="L150" t="str">
        <f>IF(AND(H150&gt;=4,I150&gt;=4,J150&gt;=4),"Champion",IF(AND(H150&gt;=3,I150&gt;=3,J150&gt;=3),"Loyal",IF(AND(H150&gt;=4,I150&lt;=2),"At Risk","Churn Risk")))</f>
        <v>Churn Risk</v>
      </c>
      <c r="M150" t="str" cm="1">
        <f t="array" ref="M150">_xlfn.XLOOKUP(1,(Gym_data!$C:$C=$A150)*(Gym_data!$B:$B=$B150),Gym_data!$F:$F)</f>
        <v>3 Months</v>
      </c>
    </row>
    <row r="151" spans="1:13" x14ac:dyDescent="0.3">
      <c r="A151" t="s">
        <v>402</v>
      </c>
      <c r="B151" s="2">
        <f>_xlfn.MAXIFS(Gym_data!$B:$B,Gym_data!$C:$C,$A151)</f>
        <v>45782</v>
      </c>
      <c r="C151" s="2">
        <f>IF(M151="Monthly",B151+30,IF(M151="3 Months",B151+90,
 IF(M151="6 Months",B151+180,
 IF(M151="Yearly",B151+365,"Check Plan"))))</f>
        <v>45872</v>
      </c>
      <c r="D151" t="str">
        <f>IF($O$4&lt;=C151,"Active",IF($O$4-C151&lt;=30,"At Risk","Churn Risk"))</f>
        <v>At Risk</v>
      </c>
      <c r="E151">
        <f xml:space="preserve"> $O$4 - B151</f>
        <v>118</v>
      </c>
      <c r="F151">
        <f>COUNTIF(Gym_data!C:C, A151)</f>
        <v>1</v>
      </c>
      <c r="G151">
        <f>SUMIF(Gym_data!C:C, A151, Gym_data!E:E)</f>
        <v>2400</v>
      </c>
      <c r="H151">
        <f>IF(E151&lt;=30,5,IF(E151&lt;=60,4,IF(E151&lt;=90,3,IF(E151&lt;=120,2,1))))</f>
        <v>2</v>
      </c>
      <c r="I151">
        <f>IF(F151&gt;=5,5, IF(F151&gt;=4,4,IF(F151&gt;=3,3,IF(F151&gt;=2,2,1))))</f>
        <v>1</v>
      </c>
      <c r="J151">
        <f>IF(G151&gt;=5000,5,IF(G151&gt;=4000,4,IF(G151&gt;=3000,3,IF(G151&gt;=2000,2,1))))</f>
        <v>2</v>
      </c>
      <c r="K151" t="str">
        <f>H151&amp;I151&amp;J151</f>
        <v>212</v>
      </c>
      <c r="L151" t="str">
        <f>IF(AND(H151&gt;=4,I151&gt;=4,J151&gt;=4),"Champion",IF(AND(H151&gt;=3,I151&gt;=3,J151&gt;=3),"Loyal",IF(AND(H151&gt;=4,I151&lt;=2),"At Risk","Churn Risk")))</f>
        <v>Churn Risk</v>
      </c>
      <c r="M151" t="str" cm="1">
        <f t="array" ref="M151">_xlfn.XLOOKUP(1,(Gym_data!$C:$C=$A151)*(Gym_data!$B:$B=$B151),Gym_data!$F:$F)</f>
        <v>3 Months</v>
      </c>
    </row>
    <row r="152" spans="1:13" x14ac:dyDescent="0.3">
      <c r="A152" t="s">
        <v>214</v>
      </c>
      <c r="B152" s="2">
        <f>_xlfn.MAXIFS(Gym_data!$B:$B,Gym_data!$C:$C,$A152)</f>
        <v>45786</v>
      </c>
      <c r="C152" s="2">
        <f>IF(M152="Monthly",B152+30,IF(M152="3 Months",B152+90,
 IF(M152="6 Months",B152+180,
 IF(M152="Yearly",B152+365,"Check Plan"))))</f>
        <v>45816</v>
      </c>
      <c r="D152" t="str">
        <f>IF($O$4&lt;=C152,"Active",IF($O$4-C152&lt;=30,"At Risk","Churn Risk"))</f>
        <v>Churn Risk</v>
      </c>
      <c r="E152">
        <f xml:space="preserve"> $O$4 - B152</f>
        <v>114</v>
      </c>
      <c r="F152">
        <f>COUNTIF(Gym_data!C:C, A152)</f>
        <v>1</v>
      </c>
      <c r="G152">
        <f>SUMIF(Gym_data!C:C, A152, Gym_data!E:E)</f>
        <v>1000</v>
      </c>
      <c r="H152">
        <f>IF(E152&lt;=30,5,IF(E152&lt;=60,4,IF(E152&lt;=90,3,IF(E152&lt;=120,2,1))))</f>
        <v>2</v>
      </c>
      <c r="I152">
        <f>IF(F152&gt;=5,5, IF(F152&gt;=4,4,IF(F152&gt;=3,3,IF(F152&gt;=2,2,1))))</f>
        <v>1</v>
      </c>
      <c r="J152">
        <f>IF(G152&gt;=5000,5,IF(G152&gt;=4000,4,IF(G152&gt;=3000,3,IF(G152&gt;=2000,2,1))))</f>
        <v>1</v>
      </c>
      <c r="K152" t="str">
        <f>H152&amp;I152&amp;J152</f>
        <v>211</v>
      </c>
      <c r="L152" t="str">
        <f>IF(AND(H152&gt;=4,I152&gt;=4,J152&gt;=4),"Champion",IF(AND(H152&gt;=3,I152&gt;=3,J152&gt;=3),"Loyal",IF(AND(H152&gt;=4,I152&lt;=2),"At Risk","Churn Risk")))</f>
        <v>Churn Risk</v>
      </c>
      <c r="M152" t="str" cm="1">
        <f t="array" ref="M152">_xlfn.XLOOKUP(1,(Gym_data!$C:$C=$A152)*(Gym_data!$B:$B=$B152),Gym_data!$F:$F)</f>
        <v>Monthly</v>
      </c>
    </row>
    <row r="153" spans="1:13" x14ac:dyDescent="0.3">
      <c r="A153" t="s">
        <v>235</v>
      </c>
      <c r="B153" s="2">
        <f>_xlfn.MAXIFS(Gym_data!$B:$B,Gym_data!$C:$C,$A153)</f>
        <v>45792</v>
      </c>
      <c r="C153" s="2">
        <f>IF(M153="Monthly",B153+30,IF(M153="3 Months",B153+90,
 IF(M153="6 Months",B153+180,
 IF(M153="Yearly",B153+365,"Check Plan"))))</f>
        <v>45822</v>
      </c>
      <c r="D153" t="str">
        <f>IF($O$4&lt;=C153,"Active",IF($O$4-C153&lt;=30,"At Risk","Churn Risk"))</f>
        <v>Churn Risk</v>
      </c>
      <c r="E153">
        <f xml:space="preserve"> $O$4 - B153</f>
        <v>108</v>
      </c>
      <c r="F153">
        <f>COUNTIF(Gym_data!C:C, A153)</f>
        <v>1</v>
      </c>
      <c r="G153">
        <f>SUMIF(Gym_data!C:C, A153, Gym_data!E:E)</f>
        <v>1000</v>
      </c>
      <c r="H153">
        <f>IF(E153&lt;=30,5,IF(E153&lt;=60,4,IF(E153&lt;=90,3,IF(E153&lt;=120,2,1))))</f>
        <v>2</v>
      </c>
      <c r="I153">
        <f>IF(F153&gt;=5,5, IF(F153&gt;=4,4,IF(F153&gt;=3,3,IF(F153&gt;=2,2,1))))</f>
        <v>1</v>
      </c>
      <c r="J153">
        <f>IF(G153&gt;=5000,5,IF(G153&gt;=4000,4,IF(G153&gt;=3000,3,IF(G153&gt;=2000,2,1))))</f>
        <v>1</v>
      </c>
      <c r="K153" t="str">
        <f>H153&amp;I153&amp;J153</f>
        <v>211</v>
      </c>
      <c r="L153" t="str">
        <f>IF(AND(H153&gt;=4,I153&gt;=4,J153&gt;=4),"Champion",IF(AND(H153&gt;=3,I153&gt;=3,J153&gt;=3),"Loyal",IF(AND(H153&gt;=4,I153&lt;=2),"At Risk","Churn Risk")))</f>
        <v>Churn Risk</v>
      </c>
      <c r="M153" t="str" cm="1">
        <f t="array" ref="M153">_xlfn.XLOOKUP(1,(Gym_data!$C:$C=$A153)*(Gym_data!$B:$B=$B153),Gym_data!$F:$F)</f>
        <v>Monthly</v>
      </c>
    </row>
    <row r="154" spans="1:13" x14ac:dyDescent="0.3">
      <c r="A154" t="s">
        <v>236</v>
      </c>
      <c r="B154" s="2">
        <f>_xlfn.MAXIFS(Gym_data!$B:$B,Gym_data!$C:$C,$A154)</f>
        <v>45789</v>
      </c>
      <c r="C154" s="2">
        <f>IF(M154="Monthly",B154+30,IF(M154="3 Months",B154+90,
 IF(M154="6 Months",B154+180,
 IF(M154="Yearly",B154+365,"Check Plan"))))</f>
        <v>45819</v>
      </c>
      <c r="D154" t="str">
        <f>IF($O$4&lt;=C154,"Active",IF($O$4-C154&lt;=30,"At Risk","Churn Risk"))</f>
        <v>Churn Risk</v>
      </c>
      <c r="E154">
        <f xml:space="preserve"> $O$4 - B154</f>
        <v>111</v>
      </c>
      <c r="F154">
        <f>COUNTIF(Gym_data!C:C, A154)</f>
        <v>1</v>
      </c>
      <c r="G154">
        <f>SUMIF(Gym_data!C:C, A154, Gym_data!E:E)</f>
        <v>1000</v>
      </c>
      <c r="H154">
        <f>IF(E154&lt;=30,5,IF(E154&lt;=60,4,IF(E154&lt;=90,3,IF(E154&lt;=120,2,1))))</f>
        <v>2</v>
      </c>
      <c r="I154">
        <f>IF(F154&gt;=5,5, IF(F154&gt;=4,4,IF(F154&gt;=3,3,IF(F154&gt;=2,2,1))))</f>
        <v>1</v>
      </c>
      <c r="J154">
        <f>IF(G154&gt;=5000,5,IF(G154&gt;=4000,4,IF(G154&gt;=3000,3,IF(G154&gt;=2000,2,1))))</f>
        <v>1</v>
      </c>
      <c r="K154" t="str">
        <f>H154&amp;I154&amp;J154</f>
        <v>211</v>
      </c>
      <c r="L154" t="str">
        <f>IF(AND(H154&gt;=4,I154&gt;=4,J154&gt;=4),"Champion",IF(AND(H154&gt;=3,I154&gt;=3,J154&gt;=3),"Loyal",IF(AND(H154&gt;=4,I154&lt;=2),"At Risk","Churn Risk")))</f>
        <v>Churn Risk</v>
      </c>
      <c r="M154" t="str" cm="1">
        <f t="array" ref="M154">_xlfn.XLOOKUP(1,(Gym_data!$C:$C=$A154)*(Gym_data!$B:$B=$B154),Gym_data!$F:$F)</f>
        <v>Monthly</v>
      </c>
    </row>
    <row r="155" spans="1:13" x14ac:dyDescent="0.3">
      <c r="A155" t="s">
        <v>294</v>
      </c>
      <c r="B155" s="2">
        <f>_xlfn.MAXIFS(Gym_data!$B:$B,Gym_data!$C:$C,$A155)</f>
        <v>45800</v>
      </c>
      <c r="C155" s="2">
        <f>IF(M155="Monthly",B155+30,IF(M155="3 Months",B155+90,
 IF(M155="6 Months",B155+180,
 IF(M155="Yearly",B155+365,"Check Plan"))))</f>
        <v>45830</v>
      </c>
      <c r="D155" t="str">
        <f>IF($O$4&lt;=C155,"Active",IF($O$4-C155&lt;=30,"At Risk","Churn Risk"))</f>
        <v>Churn Risk</v>
      </c>
      <c r="E155">
        <f xml:space="preserve"> $O$4 - B155</f>
        <v>100</v>
      </c>
      <c r="F155">
        <f>COUNTIF(Gym_data!C:C, A155)</f>
        <v>1</v>
      </c>
      <c r="G155">
        <f>SUMIF(Gym_data!C:C, A155, Gym_data!E:E)</f>
        <v>1000</v>
      </c>
      <c r="H155">
        <f>IF(E155&lt;=30,5,IF(E155&lt;=60,4,IF(E155&lt;=90,3,IF(E155&lt;=120,2,1))))</f>
        <v>2</v>
      </c>
      <c r="I155">
        <f>IF(F155&gt;=5,5, IF(F155&gt;=4,4,IF(F155&gt;=3,3,IF(F155&gt;=2,2,1))))</f>
        <v>1</v>
      </c>
      <c r="J155">
        <f>IF(G155&gt;=5000,5,IF(G155&gt;=4000,4,IF(G155&gt;=3000,3,IF(G155&gt;=2000,2,1))))</f>
        <v>1</v>
      </c>
      <c r="K155" t="str">
        <f>H155&amp;I155&amp;J155</f>
        <v>211</v>
      </c>
      <c r="L155" t="str">
        <f>IF(AND(H155&gt;=4,I155&gt;=4,J155&gt;=4),"Champion",IF(AND(H155&gt;=3,I155&gt;=3,J155&gt;=3),"Loyal",IF(AND(H155&gt;=4,I155&lt;=2),"At Risk","Churn Risk")))</f>
        <v>Churn Risk</v>
      </c>
      <c r="M155" t="str" cm="1">
        <f t="array" ref="M155">_xlfn.XLOOKUP(1,(Gym_data!$C:$C=$A155)*(Gym_data!$B:$B=$B155),Gym_data!$F:$F)</f>
        <v>Monthly</v>
      </c>
    </row>
    <row r="156" spans="1:13" x14ac:dyDescent="0.3">
      <c r="A156" t="s">
        <v>301</v>
      </c>
      <c r="B156" s="2">
        <f>_xlfn.MAXIFS(Gym_data!$B:$B,Gym_data!$C:$C,$A156)</f>
        <v>45789</v>
      </c>
      <c r="C156" s="2">
        <f>IF(M156="Monthly",B156+30,IF(M156="3 Months",B156+90,
 IF(M156="6 Months",B156+180,
 IF(M156="Yearly",B156+365,"Check Plan"))))</f>
        <v>45819</v>
      </c>
      <c r="D156" t="str">
        <f>IF($O$4&lt;=C156,"Active",IF($O$4-C156&lt;=30,"At Risk","Churn Risk"))</f>
        <v>Churn Risk</v>
      </c>
      <c r="E156">
        <f xml:space="preserve"> $O$4 - B156</f>
        <v>111</v>
      </c>
      <c r="F156">
        <f>COUNTIF(Gym_data!C:C, A156)</f>
        <v>1</v>
      </c>
      <c r="G156">
        <f>SUMIF(Gym_data!C:C, A156, Gym_data!E:E)</f>
        <v>1000</v>
      </c>
      <c r="H156">
        <f>IF(E156&lt;=30,5,IF(E156&lt;=60,4,IF(E156&lt;=90,3,IF(E156&lt;=120,2,1))))</f>
        <v>2</v>
      </c>
      <c r="I156">
        <f>IF(F156&gt;=5,5, IF(F156&gt;=4,4,IF(F156&gt;=3,3,IF(F156&gt;=2,2,1))))</f>
        <v>1</v>
      </c>
      <c r="J156">
        <f>IF(G156&gt;=5000,5,IF(G156&gt;=4000,4,IF(G156&gt;=3000,3,IF(G156&gt;=2000,2,1))))</f>
        <v>1</v>
      </c>
      <c r="K156" t="str">
        <f>H156&amp;I156&amp;J156</f>
        <v>211</v>
      </c>
      <c r="L156" t="str">
        <f>IF(AND(H156&gt;=4,I156&gt;=4,J156&gt;=4),"Champion",IF(AND(H156&gt;=3,I156&gt;=3,J156&gt;=3),"Loyal",IF(AND(H156&gt;=4,I156&lt;=2),"At Risk","Churn Risk")))</f>
        <v>Churn Risk</v>
      </c>
      <c r="M156" t="str" cm="1">
        <f t="array" ref="M156">_xlfn.XLOOKUP(1,(Gym_data!$C:$C=$A156)*(Gym_data!$B:$B=$B156),Gym_data!$F:$F)</f>
        <v>Monthly</v>
      </c>
    </row>
    <row r="157" spans="1:13" x14ac:dyDescent="0.3">
      <c r="A157" t="s">
        <v>329</v>
      </c>
      <c r="B157" s="2">
        <f>_xlfn.MAXIFS(Gym_data!$B:$B,Gym_data!$C:$C,$A157)</f>
        <v>45803</v>
      </c>
      <c r="C157" s="2">
        <f>IF(M157="Monthly",B157+30,IF(M157="3 Months",B157+90,
 IF(M157="6 Months",B157+180,
 IF(M157="Yearly",B157+365,"Check Plan"))))</f>
        <v>45833</v>
      </c>
      <c r="D157" t="str">
        <f>IF($O$4&lt;=C157,"Active",IF($O$4-C157&lt;=30,"At Risk","Churn Risk"))</f>
        <v>Churn Risk</v>
      </c>
      <c r="E157">
        <f xml:space="preserve"> $O$4 - B157</f>
        <v>97</v>
      </c>
      <c r="F157">
        <f>COUNTIF(Gym_data!C:C, A157)</f>
        <v>1</v>
      </c>
      <c r="G157">
        <f>SUMIF(Gym_data!C:C, A157, Gym_data!E:E)</f>
        <v>1000</v>
      </c>
      <c r="H157">
        <f>IF(E157&lt;=30,5,IF(E157&lt;=60,4,IF(E157&lt;=90,3,IF(E157&lt;=120,2,1))))</f>
        <v>2</v>
      </c>
      <c r="I157">
        <f>IF(F157&gt;=5,5, IF(F157&gt;=4,4,IF(F157&gt;=3,3,IF(F157&gt;=2,2,1))))</f>
        <v>1</v>
      </c>
      <c r="J157">
        <f>IF(G157&gt;=5000,5,IF(G157&gt;=4000,4,IF(G157&gt;=3000,3,IF(G157&gt;=2000,2,1))))</f>
        <v>1</v>
      </c>
      <c r="K157" t="str">
        <f>H157&amp;I157&amp;J157</f>
        <v>211</v>
      </c>
      <c r="L157" t="str">
        <f>IF(AND(H157&gt;=4,I157&gt;=4,J157&gt;=4),"Champion",IF(AND(H157&gt;=3,I157&gt;=3,J157&gt;=3),"Loyal",IF(AND(H157&gt;=4,I157&lt;=2),"At Risk","Churn Risk")))</f>
        <v>Churn Risk</v>
      </c>
      <c r="M157" t="str" cm="1">
        <f t="array" ref="M157">_xlfn.XLOOKUP(1,(Gym_data!$C:$C=$A157)*(Gym_data!$B:$B=$B157),Gym_data!$F:$F)</f>
        <v>Monthly</v>
      </c>
    </row>
    <row r="158" spans="1:13" x14ac:dyDescent="0.3">
      <c r="A158" t="s">
        <v>337</v>
      </c>
      <c r="B158" s="2">
        <f>_xlfn.MAXIFS(Gym_data!$B:$B,Gym_data!$C:$C,$A158)</f>
        <v>45785</v>
      </c>
      <c r="C158" s="2">
        <f>IF(M158="Monthly",B158+30,IF(M158="3 Months",B158+90,
 IF(M158="6 Months",B158+180,
 IF(M158="Yearly",B158+365,"Check Plan"))))</f>
        <v>45815</v>
      </c>
      <c r="D158" t="str">
        <f>IF($O$4&lt;=C158,"Active",IF($O$4-C158&lt;=30,"At Risk","Churn Risk"))</f>
        <v>Churn Risk</v>
      </c>
      <c r="E158">
        <f xml:space="preserve"> $O$4 - B158</f>
        <v>115</v>
      </c>
      <c r="F158">
        <f>COUNTIF(Gym_data!C:C, A158)</f>
        <v>1</v>
      </c>
      <c r="G158">
        <f>SUMIF(Gym_data!C:C, A158, Gym_data!E:E)</f>
        <v>1000</v>
      </c>
      <c r="H158">
        <f>IF(E158&lt;=30,5,IF(E158&lt;=60,4,IF(E158&lt;=90,3,IF(E158&lt;=120,2,1))))</f>
        <v>2</v>
      </c>
      <c r="I158">
        <f>IF(F158&gt;=5,5, IF(F158&gt;=4,4,IF(F158&gt;=3,3,IF(F158&gt;=2,2,1))))</f>
        <v>1</v>
      </c>
      <c r="J158">
        <f>IF(G158&gt;=5000,5,IF(G158&gt;=4000,4,IF(G158&gt;=3000,3,IF(G158&gt;=2000,2,1))))</f>
        <v>1</v>
      </c>
      <c r="K158" t="str">
        <f>H158&amp;I158&amp;J158</f>
        <v>211</v>
      </c>
      <c r="L158" t="str">
        <f>IF(AND(H158&gt;=4,I158&gt;=4,J158&gt;=4),"Champion",IF(AND(H158&gt;=3,I158&gt;=3,J158&gt;=3),"Loyal",IF(AND(H158&gt;=4,I158&lt;=2),"At Risk","Churn Risk")))</f>
        <v>Churn Risk</v>
      </c>
      <c r="M158" t="str" cm="1">
        <f t="array" ref="M158">_xlfn.XLOOKUP(1,(Gym_data!$C:$C=$A158)*(Gym_data!$B:$B=$B158),Gym_data!$F:$F)</f>
        <v>Monthly</v>
      </c>
    </row>
    <row r="159" spans="1:13" x14ac:dyDescent="0.3">
      <c r="A159" t="s">
        <v>384</v>
      </c>
      <c r="B159" s="2">
        <f>_xlfn.MAXIFS(Gym_data!$B:$B,Gym_data!$C:$C,$A159)</f>
        <v>45784</v>
      </c>
      <c r="C159" s="2">
        <f>IF(M159="Monthly",B159+30,IF(M159="3 Months",B159+90,
 IF(M159="6 Months",B159+180,
 IF(M159="Yearly",B159+365,"Check Plan"))))</f>
        <v>45814</v>
      </c>
      <c r="D159" t="str">
        <f>IF($O$4&lt;=C159,"Active",IF($O$4-C159&lt;=30,"At Risk","Churn Risk"))</f>
        <v>Churn Risk</v>
      </c>
      <c r="E159">
        <f xml:space="preserve"> $O$4 - B159</f>
        <v>116</v>
      </c>
      <c r="F159">
        <f>COUNTIF(Gym_data!C:C, A159)</f>
        <v>1</v>
      </c>
      <c r="G159">
        <f>SUMIF(Gym_data!C:C, A159, Gym_data!E:E)</f>
        <v>1000</v>
      </c>
      <c r="H159">
        <f>IF(E159&lt;=30,5,IF(E159&lt;=60,4,IF(E159&lt;=90,3,IF(E159&lt;=120,2,1))))</f>
        <v>2</v>
      </c>
      <c r="I159">
        <f>IF(F159&gt;=5,5, IF(F159&gt;=4,4,IF(F159&gt;=3,3,IF(F159&gt;=2,2,1))))</f>
        <v>1</v>
      </c>
      <c r="J159">
        <f>IF(G159&gt;=5000,5,IF(G159&gt;=4000,4,IF(G159&gt;=3000,3,IF(G159&gt;=2000,2,1))))</f>
        <v>1</v>
      </c>
      <c r="K159" t="str">
        <f>H159&amp;I159&amp;J159</f>
        <v>211</v>
      </c>
      <c r="L159" t="str">
        <f>IF(AND(H159&gt;=4,I159&gt;=4,J159&gt;=4),"Champion",IF(AND(H159&gt;=3,I159&gt;=3,J159&gt;=3),"Loyal",IF(AND(H159&gt;=4,I159&lt;=2),"At Risk","Churn Risk")))</f>
        <v>Churn Risk</v>
      </c>
      <c r="M159" t="str" cm="1">
        <f t="array" ref="M159">_xlfn.XLOOKUP(1,(Gym_data!$C:$C=$A159)*(Gym_data!$B:$B=$B159),Gym_data!$F:$F)</f>
        <v>Monthly</v>
      </c>
    </row>
    <row r="160" spans="1:13" x14ac:dyDescent="0.3">
      <c r="A160" t="s">
        <v>213</v>
      </c>
      <c r="B160" s="2">
        <f>_xlfn.MAXIFS(Gym_data!$B:$B,Gym_data!$C:$C,$A160)</f>
        <v>45759</v>
      </c>
      <c r="C160" s="2">
        <f>IF(M160="Monthly",B160+30,IF(M160="3 Months",B160+90,
 IF(M160="6 Months",B160+180,
 IF(M160="Yearly",B160+365,"Check Plan"))))</f>
        <v>45789</v>
      </c>
      <c r="D160" t="str">
        <f>IF($O$4&lt;=C160,"Active",IF($O$4-C160&lt;=30,"At Risk","Churn Risk"))</f>
        <v>Churn Risk</v>
      </c>
      <c r="E160">
        <f xml:space="preserve"> $O$4 - B160</f>
        <v>141</v>
      </c>
      <c r="F160">
        <f>COUNTIF(Gym_data!C:C, A160)</f>
        <v>2</v>
      </c>
      <c r="G160">
        <f>SUMIF(Gym_data!C:C, A160, Gym_data!E:E)</f>
        <v>2000</v>
      </c>
      <c r="H160">
        <f>IF(E160&lt;=30,5,IF(E160&lt;=60,4,IF(E160&lt;=90,3,IF(E160&lt;=120,2,1))))</f>
        <v>1</v>
      </c>
      <c r="I160">
        <f>IF(F160&gt;=5,5, IF(F160&gt;=4,4,IF(F160&gt;=3,3,IF(F160&gt;=2,2,1))))</f>
        <v>2</v>
      </c>
      <c r="J160">
        <f>IF(G160&gt;=5000,5,IF(G160&gt;=4000,4,IF(G160&gt;=3000,3,IF(G160&gt;=2000,2,1))))</f>
        <v>2</v>
      </c>
      <c r="K160" t="str">
        <f>H160&amp;I160&amp;J160</f>
        <v>122</v>
      </c>
      <c r="L160" t="str">
        <f>IF(AND(H160&gt;=4,I160&gt;=4,J160&gt;=4),"Champion",IF(AND(H160&gt;=3,I160&gt;=3,J160&gt;=3),"Loyal",IF(AND(H160&gt;=4,I160&lt;=2),"At Risk","Churn Risk")))</f>
        <v>Churn Risk</v>
      </c>
      <c r="M160" t="str" cm="1">
        <f t="array" ref="M160">_xlfn.XLOOKUP(1,(Gym_data!$C:$C=$A160)*(Gym_data!$B:$B=$B160),Gym_data!$F:$F)</f>
        <v>Monthly</v>
      </c>
    </row>
    <row r="161" spans="1:13" x14ac:dyDescent="0.3">
      <c r="A161" t="s">
        <v>225</v>
      </c>
      <c r="B161" s="2">
        <f>_xlfn.MAXIFS(Gym_data!$B:$B,Gym_data!$C:$C,$A161)</f>
        <v>45765</v>
      </c>
      <c r="C161" s="2">
        <f>IF(M161="Monthly",B161+30,IF(M161="3 Months",B161+90,
 IF(M161="6 Months",B161+180,
 IF(M161="Yearly",B161+365,"Check Plan"))))</f>
        <v>45795</v>
      </c>
      <c r="D161" t="str">
        <f>IF($O$4&lt;=C161,"Active",IF($O$4-C161&lt;=30,"At Risk","Churn Risk"))</f>
        <v>Churn Risk</v>
      </c>
      <c r="E161">
        <f xml:space="preserve"> $O$4 - B161</f>
        <v>135</v>
      </c>
      <c r="F161">
        <f>COUNTIF(Gym_data!C:C, A161)</f>
        <v>2</v>
      </c>
      <c r="G161">
        <f>SUMIF(Gym_data!C:C, A161, Gym_data!E:E)</f>
        <v>2000</v>
      </c>
      <c r="H161">
        <f>IF(E161&lt;=30,5,IF(E161&lt;=60,4,IF(E161&lt;=90,3,IF(E161&lt;=120,2,1))))</f>
        <v>1</v>
      </c>
      <c r="I161">
        <f>IF(F161&gt;=5,5, IF(F161&gt;=4,4,IF(F161&gt;=3,3,IF(F161&gt;=2,2,1))))</f>
        <v>2</v>
      </c>
      <c r="J161">
        <f>IF(G161&gt;=5000,5,IF(G161&gt;=4000,4,IF(G161&gt;=3000,3,IF(G161&gt;=2000,2,1))))</f>
        <v>2</v>
      </c>
      <c r="K161" t="str">
        <f>H161&amp;I161&amp;J161</f>
        <v>122</v>
      </c>
      <c r="L161" t="str">
        <f>IF(AND(H161&gt;=4,I161&gt;=4,J161&gt;=4),"Champion",IF(AND(H161&gt;=3,I161&gt;=3,J161&gt;=3),"Loyal",IF(AND(H161&gt;=4,I161&lt;=2),"At Risk","Churn Risk")))</f>
        <v>Churn Risk</v>
      </c>
      <c r="M161" t="str" cm="1">
        <f t="array" ref="M161">_xlfn.XLOOKUP(1,(Gym_data!$C:$C=$A161)*(Gym_data!$B:$B=$B161),Gym_data!$F:$F)</f>
        <v>Monthly</v>
      </c>
    </row>
    <row r="162" spans="1:13" x14ac:dyDescent="0.3">
      <c r="A162" t="s">
        <v>252</v>
      </c>
      <c r="B162" s="2">
        <f>_xlfn.MAXIFS(Gym_data!$B:$B,Gym_data!$C:$C,$A162)</f>
        <v>45757</v>
      </c>
      <c r="C162" s="2">
        <f>IF(M162="Monthly",B162+30,IF(M162="3 Months",B162+90,
 IF(M162="6 Months",B162+180,
 IF(M162="Yearly",B162+365,"Check Plan"))))</f>
        <v>45787</v>
      </c>
      <c r="D162" t="str">
        <f>IF($O$4&lt;=C162,"Active",IF($O$4-C162&lt;=30,"At Risk","Churn Risk"))</f>
        <v>Churn Risk</v>
      </c>
      <c r="E162">
        <f xml:space="preserve"> $O$4 - B162</f>
        <v>143</v>
      </c>
      <c r="F162">
        <f>COUNTIF(Gym_data!C:C, A162)</f>
        <v>2</v>
      </c>
      <c r="G162">
        <f>SUMIF(Gym_data!C:C, A162, Gym_data!E:E)</f>
        <v>2000</v>
      </c>
      <c r="H162">
        <f>IF(E162&lt;=30,5,IF(E162&lt;=60,4,IF(E162&lt;=90,3,IF(E162&lt;=120,2,1))))</f>
        <v>1</v>
      </c>
      <c r="I162">
        <f>IF(F162&gt;=5,5, IF(F162&gt;=4,4,IF(F162&gt;=3,3,IF(F162&gt;=2,2,1))))</f>
        <v>2</v>
      </c>
      <c r="J162">
        <f>IF(G162&gt;=5000,5,IF(G162&gt;=4000,4,IF(G162&gt;=3000,3,IF(G162&gt;=2000,2,1))))</f>
        <v>2</v>
      </c>
      <c r="K162" t="str">
        <f>H162&amp;I162&amp;J162</f>
        <v>122</v>
      </c>
      <c r="L162" t="str">
        <f>IF(AND(H162&gt;=4,I162&gt;=4,J162&gt;=4),"Champion",IF(AND(H162&gt;=3,I162&gt;=3,J162&gt;=3),"Loyal",IF(AND(H162&gt;=4,I162&lt;=2),"At Risk","Churn Risk")))</f>
        <v>Churn Risk</v>
      </c>
      <c r="M162" t="str" cm="1">
        <f t="array" ref="M162">_xlfn.XLOOKUP(1,(Gym_data!$C:$C=$A162)*(Gym_data!$B:$B=$B162),Gym_data!$F:$F)</f>
        <v>Monthly</v>
      </c>
    </row>
    <row r="163" spans="1:13" x14ac:dyDescent="0.3">
      <c r="A163" t="s">
        <v>302</v>
      </c>
      <c r="B163" s="2">
        <f>_xlfn.MAXIFS(Gym_data!$B:$B,Gym_data!$C:$C,$A163)</f>
        <v>45761</v>
      </c>
      <c r="C163" s="2">
        <f>IF(M163="Monthly",B163+30,IF(M163="3 Months",B163+90,
 IF(M163="6 Months",B163+180,
 IF(M163="Yearly",B163+365,"Check Plan"))))</f>
        <v>45791</v>
      </c>
      <c r="D163" t="str">
        <f>IF($O$4&lt;=C163,"Active",IF($O$4-C163&lt;=30,"At Risk","Churn Risk"))</f>
        <v>Churn Risk</v>
      </c>
      <c r="E163">
        <f xml:space="preserve"> $O$4 - B163</f>
        <v>139</v>
      </c>
      <c r="F163">
        <f>COUNTIF(Gym_data!C:C, A163)</f>
        <v>2</v>
      </c>
      <c r="G163">
        <f>SUMIF(Gym_data!C:C, A163, Gym_data!E:E)</f>
        <v>2000</v>
      </c>
      <c r="H163">
        <f>IF(E163&lt;=30,5,IF(E163&lt;=60,4,IF(E163&lt;=90,3,IF(E163&lt;=120,2,1))))</f>
        <v>1</v>
      </c>
      <c r="I163">
        <f>IF(F163&gt;=5,5, IF(F163&gt;=4,4,IF(F163&gt;=3,3,IF(F163&gt;=2,2,1))))</f>
        <v>2</v>
      </c>
      <c r="J163">
        <f>IF(G163&gt;=5000,5,IF(G163&gt;=4000,4,IF(G163&gt;=3000,3,IF(G163&gt;=2000,2,1))))</f>
        <v>2</v>
      </c>
      <c r="K163" t="str">
        <f>H163&amp;I163&amp;J163</f>
        <v>122</v>
      </c>
      <c r="L163" t="str">
        <f>IF(AND(H163&gt;=4,I163&gt;=4,J163&gt;=4),"Champion",IF(AND(H163&gt;=3,I163&gt;=3,J163&gt;=3),"Loyal",IF(AND(H163&gt;=4,I163&lt;=2),"At Risk","Churn Risk")))</f>
        <v>Churn Risk</v>
      </c>
      <c r="M163" t="str" cm="1">
        <f t="array" ref="M163">_xlfn.XLOOKUP(1,(Gym_data!$C:$C=$A163)*(Gym_data!$B:$B=$B163),Gym_data!$F:$F)</f>
        <v>Monthly</v>
      </c>
    </row>
    <row r="164" spans="1:13" x14ac:dyDescent="0.3">
      <c r="A164" t="s">
        <v>336</v>
      </c>
      <c r="B164" s="2">
        <f>_xlfn.MAXIFS(Gym_data!$B:$B,Gym_data!$C:$C,$A164)</f>
        <v>45766</v>
      </c>
      <c r="C164" s="2">
        <f>IF(M164="Monthly",B164+30,IF(M164="3 Months",B164+90,
 IF(M164="6 Months",B164+180,
 IF(M164="Yearly",B164+365,"Check Plan"))))</f>
        <v>45796</v>
      </c>
      <c r="D164" t="str">
        <f>IF($O$4&lt;=C164,"Active",IF($O$4-C164&lt;=30,"At Risk","Churn Risk"))</f>
        <v>Churn Risk</v>
      </c>
      <c r="E164">
        <f xml:space="preserve"> $O$4 - B164</f>
        <v>134</v>
      </c>
      <c r="F164">
        <f>COUNTIF(Gym_data!C:C, A164)</f>
        <v>2</v>
      </c>
      <c r="G164">
        <f>SUMIF(Gym_data!C:C, A164, Gym_data!E:E)</f>
        <v>2000</v>
      </c>
      <c r="H164">
        <f>IF(E164&lt;=30,5,IF(E164&lt;=60,4,IF(E164&lt;=90,3,IF(E164&lt;=120,2,1))))</f>
        <v>1</v>
      </c>
      <c r="I164">
        <f>IF(F164&gt;=5,5, IF(F164&gt;=4,4,IF(F164&gt;=3,3,IF(F164&gt;=2,2,1))))</f>
        <v>2</v>
      </c>
      <c r="J164">
        <f>IF(G164&gt;=5000,5,IF(G164&gt;=4000,4,IF(G164&gt;=3000,3,IF(G164&gt;=2000,2,1))))</f>
        <v>2</v>
      </c>
      <c r="K164" t="str">
        <f>H164&amp;I164&amp;J164</f>
        <v>122</v>
      </c>
      <c r="L164" t="str">
        <f>IF(AND(H164&gt;=4,I164&gt;=4,J164&gt;=4),"Champion",IF(AND(H164&gt;=3,I164&gt;=3,J164&gt;=3),"Loyal",IF(AND(H164&gt;=4,I164&lt;=2),"At Risk","Churn Risk")))</f>
        <v>Churn Risk</v>
      </c>
      <c r="M164" t="str" cm="1">
        <f t="array" ref="M164">_xlfn.XLOOKUP(1,(Gym_data!$C:$C=$A164)*(Gym_data!$B:$B=$B164),Gym_data!$F:$F)</f>
        <v>Monthly</v>
      </c>
    </row>
    <row r="165" spans="1:13" x14ac:dyDescent="0.3">
      <c r="A165" t="s">
        <v>354</v>
      </c>
      <c r="B165" s="2">
        <f>_xlfn.MAXIFS(Gym_data!$B:$B,Gym_data!$C:$C,$A165)</f>
        <v>45758</v>
      </c>
      <c r="C165" s="2">
        <f>IF(M165="Monthly",B165+30,IF(M165="3 Months",B165+90,
 IF(M165="6 Months",B165+180,
 IF(M165="Yearly",B165+365,"Check Plan"))))</f>
        <v>45788</v>
      </c>
      <c r="D165" t="str">
        <f>IF($O$4&lt;=C165,"Active",IF($O$4-C165&lt;=30,"At Risk","Churn Risk"))</f>
        <v>Churn Risk</v>
      </c>
      <c r="E165">
        <f xml:space="preserve"> $O$4 - B165</f>
        <v>142</v>
      </c>
      <c r="F165">
        <f>COUNTIF(Gym_data!C:C, A165)</f>
        <v>2</v>
      </c>
      <c r="G165">
        <f>SUMIF(Gym_data!C:C, A165, Gym_data!E:E)</f>
        <v>2000</v>
      </c>
      <c r="H165">
        <f>IF(E165&lt;=30,5,IF(E165&lt;=60,4,IF(E165&lt;=90,3,IF(E165&lt;=120,2,1))))</f>
        <v>1</v>
      </c>
      <c r="I165">
        <f>IF(F165&gt;=5,5, IF(F165&gt;=4,4,IF(F165&gt;=3,3,IF(F165&gt;=2,2,1))))</f>
        <v>2</v>
      </c>
      <c r="J165">
        <f>IF(G165&gt;=5000,5,IF(G165&gt;=4000,4,IF(G165&gt;=3000,3,IF(G165&gt;=2000,2,1))))</f>
        <v>2</v>
      </c>
      <c r="K165" t="str">
        <f>H165&amp;I165&amp;J165</f>
        <v>122</v>
      </c>
      <c r="L165" t="str">
        <f>IF(AND(H165&gt;=4,I165&gt;=4,J165&gt;=4),"Champion",IF(AND(H165&gt;=3,I165&gt;=3,J165&gt;=3),"Loyal",IF(AND(H165&gt;=4,I165&lt;=2),"At Risk","Churn Risk")))</f>
        <v>Churn Risk</v>
      </c>
      <c r="M165" t="str" cm="1">
        <f t="array" ref="M165">_xlfn.XLOOKUP(1,(Gym_data!$C:$C=$A165)*(Gym_data!$B:$B=$B165),Gym_data!$F:$F)</f>
        <v>Monthly</v>
      </c>
    </row>
    <row r="166" spans="1:13" x14ac:dyDescent="0.3">
      <c r="A166" t="s">
        <v>400</v>
      </c>
      <c r="B166" s="2">
        <f>_xlfn.MAXIFS(Gym_data!$B:$B,Gym_data!$C:$C,$A166)</f>
        <v>45758</v>
      </c>
      <c r="C166" s="2">
        <f>IF(M166="Monthly",B166+30,IF(M166="3 Months",B166+90,
 IF(M166="6 Months",B166+180,
 IF(M166="Yearly",B166+365,"Check Plan"))))</f>
        <v>45788</v>
      </c>
      <c r="D166" t="str">
        <f>IF($O$4&lt;=C166,"Active",IF($O$4-C166&lt;=30,"At Risk","Churn Risk"))</f>
        <v>Churn Risk</v>
      </c>
      <c r="E166">
        <f xml:space="preserve"> $O$4 - B166</f>
        <v>142</v>
      </c>
      <c r="F166">
        <f>COUNTIF(Gym_data!C:C, A166)</f>
        <v>2</v>
      </c>
      <c r="G166">
        <f>SUMIF(Gym_data!C:C, A166, Gym_data!E:E)</f>
        <v>2000</v>
      </c>
      <c r="H166">
        <f>IF(E166&lt;=30,5,IF(E166&lt;=60,4,IF(E166&lt;=90,3,IF(E166&lt;=120,2,1))))</f>
        <v>1</v>
      </c>
      <c r="I166">
        <f>IF(F166&gt;=5,5, IF(F166&gt;=4,4,IF(F166&gt;=3,3,IF(F166&gt;=2,2,1))))</f>
        <v>2</v>
      </c>
      <c r="J166">
        <f>IF(G166&gt;=5000,5,IF(G166&gt;=4000,4,IF(G166&gt;=3000,3,IF(G166&gt;=2000,2,1))))</f>
        <v>2</v>
      </c>
      <c r="K166" t="str">
        <f>H166&amp;I166&amp;J166</f>
        <v>122</v>
      </c>
      <c r="L166" t="str">
        <f>IF(AND(H166&gt;=4,I166&gt;=4,J166&gt;=4),"Champion",IF(AND(H166&gt;=3,I166&gt;=3,J166&gt;=3),"Loyal",IF(AND(H166&gt;=4,I166&lt;=2),"At Risk","Churn Risk")))</f>
        <v>Churn Risk</v>
      </c>
      <c r="M166" t="str" cm="1">
        <f t="array" ref="M166">_xlfn.XLOOKUP(1,(Gym_data!$C:$C=$A166)*(Gym_data!$B:$B=$B166),Gym_data!$F:$F)</f>
        <v>Monthly</v>
      </c>
    </row>
    <row r="167" spans="1:13" x14ac:dyDescent="0.3">
      <c r="A167" t="s">
        <v>292</v>
      </c>
      <c r="B167" s="2">
        <f>_xlfn.MAXIFS(Gym_data!$B:$B,Gym_data!$C:$C,$A167)</f>
        <v>45761</v>
      </c>
      <c r="C167" s="2">
        <f>IF(M167="Monthly",B167+30,IF(M167="3 Months",B167+90,
 IF(M167="6 Months",B167+180,
 IF(M167="Yearly",B167+365,"Check Plan"))))</f>
        <v>45791</v>
      </c>
      <c r="D167" t="str">
        <f>IF($O$4&lt;=C167,"Active",IF($O$4-C167&lt;=30,"At Risk","Churn Risk"))</f>
        <v>Churn Risk</v>
      </c>
      <c r="E167">
        <f xml:space="preserve"> $O$4 - B167</f>
        <v>139</v>
      </c>
      <c r="F167">
        <f>COUNTIF(Gym_data!C:C, A167)</f>
        <v>2</v>
      </c>
      <c r="G167">
        <f>SUMIF(Gym_data!C:C, A167, Gym_data!E:E)</f>
        <v>1600</v>
      </c>
      <c r="H167">
        <f>IF(E167&lt;=30,5,IF(E167&lt;=60,4,IF(E167&lt;=90,3,IF(E167&lt;=120,2,1))))</f>
        <v>1</v>
      </c>
      <c r="I167">
        <f>IF(F167&gt;=5,5, IF(F167&gt;=4,4,IF(F167&gt;=3,3,IF(F167&gt;=2,2,1))))</f>
        <v>2</v>
      </c>
      <c r="J167">
        <f>IF(G167&gt;=5000,5,IF(G167&gt;=4000,4,IF(G167&gt;=3000,3,IF(G167&gt;=2000,2,1))))</f>
        <v>1</v>
      </c>
      <c r="K167" t="str">
        <f>H167&amp;I167&amp;J167</f>
        <v>121</v>
      </c>
      <c r="L167" t="str">
        <f>IF(AND(H167&gt;=4,I167&gt;=4,J167&gt;=4),"Champion",IF(AND(H167&gt;=3,I167&gt;=3,J167&gt;=3),"Loyal",IF(AND(H167&gt;=4,I167&lt;=2),"At Risk","Churn Risk")))</f>
        <v>Churn Risk</v>
      </c>
      <c r="M167" t="str" cm="1">
        <f t="array" ref="M167">_xlfn.XLOOKUP(1,(Gym_data!$C:$C=$A167)*(Gym_data!$B:$B=$B167),Gym_data!$F:$F)</f>
        <v>Monthly</v>
      </c>
    </row>
    <row r="168" spans="1:13" x14ac:dyDescent="0.3">
      <c r="A168" t="s">
        <v>284</v>
      </c>
      <c r="B168" s="2">
        <f>_xlfn.MAXIFS(Gym_data!$B:$B,Gym_data!$C:$C,$A168)</f>
        <v>45761</v>
      </c>
      <c r="C168" s="2">
        <f>IF(M168="Monthly",B168+30,IF(M168="3 Months",B168+90,
 IF(M168="6 Months",B168+180,
 IF(M168="Yearly",B168+365,"Check Plan"))))</f>
        <v>46126</v>
      </c>
      <c r="D168" t="str">
        <f>IF($O$4&lt;=C168,"Active",IF($O$4-C168&lt;=30,"At Risk","Churn Risk"))</f>
        <v>Active</v>
      </c>
      <c r="E168">
        <f xml:space="preserve"> $O$4 - B168</f>
        <v>139</v>
      </c>
      <c r="F168">
        <f>COUNTIF(Gym_data!C:C, A168)</f>
        <v>1</v>
      </c>
      <c r="G168">
        <f>SUMIF(Gym_data!C:C, A168, Gym_data!E:E)</f>
        <v>7200</v>
      </c>
      <c r="H168">
        <f>IF(E168&lt;=30,5,IF(E168&lt;=60,4,IF(E168&lt;=90,3,IF(E168&lt;=120,2,1))))</f>
        <v>1</v>
      </c>
      <c r="I168">
        <f>IF(F168&gt;=5,5, IF(F168&gt;=4,4,IF(F168&gt;=3,3,IF(F168&gt;=2,2,1))))</f>
        <v>1</v>
      </c>
      <c r="J168">
        <f>IF(G168&gt;=5000,5,IF(G168&gt;=4000,4,IF(G168&gt;=3000,3,IF(G168&gt;=2000,2,1))))</f>
        <v>5</v>
      </c>
      <c r="K168" t="str">
        <f>H168&amp;I168&amp;J168</f>
        <v>115</v>
      </c>
      <c r="L168" t="str">
        <f>IF(AND(H168&gt;=4,I168&gt;=4,J168&gt;=4),"Champion",IF(AND(H168&gt;=3,I168&gt;=3,J168&gt;=3),"Loyal",IF(AND(H168&gt;=4,I168&lt;=2),"At Risk","Churn Risk")))</f>
        <v>Churn Risk</v>
      </c>
      <c r="M168" t="str" cm="1">
        <f t="array" ref="M168">_xlfn.XLOOKUP(1,(Gym_data!$C:$C=$A168)*(Gym_data!$B:$B=$B168),Gym_data!$F:$F)</f>
        <v>Yearly</v>
      </c>
    </row>
    <row r="169" spans="1:13" x14ac:dyDescent="0.3">
      <c r="A169" t="s">
        <v>401</v>
      </c>
      <c r="B169" s="2">
        <f>_xlfn.MAXIFS(Gym_data!$B:$B,Gym_data!$C:$C,$A169)</f>
        <v>45759</v>
      </c>
      <c r="C169" s="2">
        <f>IF(M169="Monthly",B169+30,IF(M169="3 Months",B169+90,
 IF(M169="6 Months",B169+180,
 IF(M169="Yearly",B169+365,"Check Plan"))))</f>
        <v>45939</v>
      </c>
      <c r="D169" t="str">
        <f>IF($O$4&lt;=C169,"Active",IF($O$4-C169&lt;=30,"At Risk","Churn Risk"))</f>
        <v>Active</v>
      </c>
      <c r="E169">
        <f xml:space="preserve"> $O$4 - B169</f>
        <v>141</v>
      </c>
      <c r="F169">
        <f>COUNTIF(Gym_data!C:C, A169)</f>
        <v>1</v>
      </c>
      <c r="G169">
        <f>SUMIF(Gym_data!C:C, A169, Gym_data!E:E)</f>
        <v>7000</v>
      </c>
      <c r="H169">
        <f>IF(E169&lt;=30,5,IF(E169&lt;=60,4,IF(E169&lt;=90,3,IF(E169&lt;=120,2,1))))</f>
        <v>1</v>
      </c>
      <c r="I169">
        <f>IF(F169&gt;=5,5, IF(F169&gt;=4,4,IF(F169&gt;=3,3,IF(F169&gt;=2,2,1))))</f>
        <v>1</v>
      </c>
      <c r="J169">
        <f>IF(G169&gt;=5000,5,IF(G169&gt;=4000,4,IF(G169&gt;=3000,3,IF(G169&gt;=2000,2,1))))</f>
        <v>5</v>
      </c>
      <c r="K169" t="str">
        <f>H169&amp;I169&amp;J169</f>
        <v>115</v>
      </c>
      <c r="L169" t="str">
        <f>IF(AND(H169&gt;=4,I169&gt;=4,J169&gt;=4),"Champion",IF(AND(H169&gt;=3,I169&gt;=3,J169&gt;=3),"Loyal",IF(AND(H169&gt;=4,I169&lt;=2),"At Risk","Churn Risk")))</f>
        <v>Churn Risk</v>
      </c>
      <c r="M169" t="str" cm="1">
        <f t="array" ref="M169">_xlfn.XLOOKUP(1,(Gym_data!$C:$C=$A169)*(Gym_data!$B:$B=$B169),Gym_data!$F:$F)</f>
        <v>6 Months</v>
      </c>
    </row>
    <row r="170" spans="1:13" x14ac:dyDescent="0.3">
      <c r="A170" t="s">
        <v>234</v>
      </c>
      <c r="B170" s="2">
        <f>_xlfn.MAXIFS(Gym_data!$B:$B,Gym_data!$C:$C,$A170)</f>
        <v>45754</v>
      </c>
      <c r="C170" s="2">
        <f>IF(M170="Monthly",B170+30,IF(M170="3 Months",B170+90,
 IF(M170="6 Months",B170+180,
 IF(M170="Yearly",B170+365,"Check Plan"))))</f>
        <v>45844</v>
      </c>
      <c r="D170" t="str">
        <f>IF($O$4&lt;=C170,"Active",IF($O$4-C170&lt;=30,"At Risk","Churn Risk"))</f>
        <v>Churn Risk</v>
      </c>
      <c r="E170">
        <f xml:space="preserve"> $O$4 - B170</f>
        <v>146</v>
      </c>
      <c r="F170">
        <f>COUNTIF(Gym_data!C:C, A170)</f>
        <v>1</v>
      </c>
      <c r="G170">
        <f>SUMIF(Gym_data!C:C, A170, Gym_data!E:E)</f>
        <v>4200</v>
      </c>
      <c r="H170">
        <f>IF(E170&lt;=30,5,IF(E170&lt;=60,4,IF(E170&lt;=90,3,IF(E170&lt;=120,2,1))))</f>
        <v>1</v>
      </c>
      <c r="I170">
        <f>IF(F170&gt;=5,5, IF(F170&gt;=4,4,IF(F170&gt;=3,3,IF(F170&gt;=2,2,1))))</f>
        <v>1</v>
      </c>
      <c r="J170">
        <f>IF(G170&gt;=5000,5,IF(G170&gt;=4000,4,IF(G170&gt;=3000,3,IF(G170&gt;=2000,2,1))))</f>
        <v>4</v>
      </c>
      <c r="K170" t="str">
        <f>H170&amp;I170&amp;J170</f>
        <v>114</v>
      </c>
      <c r="L170" t="str">
        <f>IF(AND(H170&gt;=4,I170&gt;=4,J170&gt;=4),"Champion",IF(AND(H170&gt;=3,I170&gt;=3,J170&gt;=3),"Loyal",IF(AND(H170&gt;=4,I170&lt;=2),"At Risk","Churn Risk")))</f>
        <v>Churn Risk</v>
      </c>
      <c r="M170" t="str" cm="1">
        <f t="array" ref="M170">_xlfn.XLOOKUP(1,(Gym_data!$C:$C=$A170)*(Gym_data!$B:$B=$B170),Gym_data!$F:$F)</f>
        <v>3 Months</v>
      </c>
    </row>
    <row r="171" spans="1:13" x14ac:dyDescent="0.3">
      <c r="A171" t="s">
        <v>238</v>
      </c>
      <c r="B171" s="2">
        <f>_xlfn.MAXIFS(Gym_data!$B:$B,Gym_data!$C:$C,$A171)</f>
        <v>45748</v>
      </c>
      <c r="C171" s="2">
        <f>IF(M171="Monthly",B171+30,IF(M171="3 Months",B171+90,
 IF(M171="6 Months",B171+180,
 IF(M171="Yearly",B171+365,"Check Plan"))))</f>
        <v>45838</v>
      </c>
      <c r="D171" t="str">
        <f>IF($O$4&lt;=C171,"Active",IF($O$4-C171&lt;=30,"At Risk","Churn Risk"))</f>
        <v>Churn Risk</v>
      </c>
      <c r="E171">
        <f xml:space="preserve"> $O$4 - B171</f>
        <v>152</v>
      </c>
      <c r="F171">
        <f>COUNTIF(Gym_data!C:C, A171)</f>
        <v>1</v>
      </c>
      <c r="G171">
        <f>SUMIF(Gym_data!C:C, A171, Gym_data!E:E)</f>
        <v>4000</v>
      </c>
      <c r="H171">
        <f>IF(E171&lt;=30,5,IF(E171&lt;=60,4,IF(E171&lt;=90,3,IF(E171&lt;=120,2,1))))</f>
        <v>1</v>
      </c>
      <c r="I171">
        <f>IF(F171&gt;=5,5, IF(F171&gt;=4,4,IF(F171&gt;=3,3,IF(F171&gt;=2,2,1))))</f>
        <v>1</v>
      </c>
      <c r="J171">
        <f>IF(G171&gt;=5000,5,IF(G171&gt;=4000,4,IF(G171&gt;=3000,3,IF(G171&gt;=2000,2,1))))</f>
        <v>4</v>
      </c>
      <c r="K171" t="str">
        <f>H171&amp;I171&amp;J171</f>
        <v>114</v>
      </c>
      <c r="L171" t="str">
        <f>IF(AND(H171&gt;=4,I171&gt;=4,J171&gt;=4),"Champion",IF(AND(H171&gt;=3,I171&gt;=3,J171&gt;=3),"Loyal",IF(AND(H171&gt;=4,I171&lt;=2),"At Risk","Churn Risk")))</f>
        <v>Churn Risk</v>
      </c>
      <c r="M171" t="str" cm="1">
        <f t="array" ref="M171">_xlfn.XLOOKUP(1,(Gym_data!$C:$C=$A171)*(Gym_data!$B:$B=$B171),Gym_data!$F:$F)</f>
        <v>3 Months</v>
      </c>
    </row>
    <row r="172" spans="1:13" x14ac:dyDescent="0.3">
      <c r="A172" t="s">
        <v>256</v>
      </c>
      <c r="B172" s="2">
        <f>_xlfn.MAXIFS(Gym_data!$B:$B,Gym_data!$C:$C,$A172)</f>
        <v>45748</v>
      </c>
      <c r="C172" s="2">
        <f>IF(M172="Monthly",B172+30,IF(M172="3 Months",B172+90,
 IF(M172="6 Months",B172+180,
 IF(M172="Yearly",B172+365,"Check Plan"))))</f>
        <v>45838</v>
      </c>
      <c r="D172" t="str">
        <f>IF($O$4&lt;=C172,"Active",IF($O$4-C172&lt;=30,"At Risk","Churn Risk"))</f>
        <v>Churn Risk</v>
      </c>
      <c r="E172">
        <f xml:space="preserve"> $O$4 - B172</f>
        <v>152</v>
      </c>
      <c r="F172">
        <f>COUNTIF(Gym_data!C:C, A172)</f>
        <v>1</v>
      </c>
      <c r="G172">
        <f>SUMIF(Gym_data!C:C, A172, Gym_data!E:E)</f>
        <v>4000</v>
      </c>
      <c r="H172">
        <f>IF(E172&lt;=30,5,IF(E172&lt;=60,4,IF(E172&lt;=90,3,IF(E172&lt;=120,2,1))))</f>
        <v>1</v>
      </c>
      <c r="I172">
        <f>IF(F172&gt;=5,5, IF(F172&gt;=4,4,IF(F172&gt;=3,3,IF(F172&gt;=2,2,1))))</f>
        <v>1</v>
      </c>
      <c r="J172">
        <f>IF(G172&gt;=5000,5,IF(G172&gt;=4000,4,IF(G172&gt;=3000,3,IF(G172&gt;=2000,2,1))))</f>
        <v>4</v>
      </c>
      <c r="K172" t="str">
        <f>H172&amp;I172&amp;J172</f>
        <v>114</v>
      </c>
      <c r="L172" t="str">
        <f>IF(AND(H172&gt;=4,I172&gt;=4,J172&gt;=4),"Champion",IF(AND(H172&gt;=3,I172&gt;=3,J172&gt;=3),"Loyal",IF(AND(H172&gt;=4,I172&lt;=2),"At Risk","Churn Risk")))</f>
        <v>Churn Risk</v>
      </c>
      <c r="M172" t="str" cm="1">
        <f t="array" ref="M172">_xlfn.XLOOKUP(1,(Gym_data!$C:$C=$A172)*(Gym_data!$B:$B=$B172),Gym_data!$F:$F)</f>
        <v>3 Months</v>
      </c>
    </row>
    <row r="173" spans="1:13" x14ac:dyDescent="0.3">
      <c r="A173" t="s">
        <v>305</v>
      </c>
      <c r="B173" s="2">
        <f>_xlfn.MAXIFS(Gym_data!$B:$B,Gym_data!$C:$C,$A173)</f>
        <v>45720</v>
      </c>
      <c r="C173" s="2">
        <f>IF(M173="Monthly",B173+30,IF(M173="3 Months",B173+90,
 IF(M173="6 Months",B173+180,
 IF(M173="Yearly",B173+365,"Check Plan"))))</f>
        <v>45900</v>
      </c>
      <c r="D173" t="str">
        <f>IF($O$4&lt;=C173,"Active",IF($O$4-C173&lt;=30,"At Risk","Churn Risk"))</f>
        <v>Active</v>
      </c>
      <c r="E173">
        <f xml:space="preserve"> $O$4 - B173</f>
        <v>180</v>
      </c>
      <c r="F173">
        <f>COUNTIF(Gym_data!C:C, A173)</f>
        <v>1</v>
      </c>
      <c r="G173">
        <f>SUMIF(Gym_data!C:C, A173, Gym_data!E:E)</f>
        <v>4800</v>
      </c>
      <c r="H173">
        <f>IF(E173&lt;=30,5,IF(E173&lt;=60,4,IF(E173&lt;=90,3,IF(E173&lt;=120,2,1))))</f>
        <v>1</v>
      </c>
      <c r="I173">
        <f>IF(F173&gt;=5,5, IF(F173&gt;=4,4,IF(F173&gt;=3,3,IF(F173&gt;=2,2,1))))</f>
        <v>1</v>
      </c>
      <c r="J173">
        <f>IF(G173&gt;=5000,5,IF(G173&gt;=4000,4,IF(G173&gt;=3000,3,IF(G173&gt;=2000,2,1))))</f>
        <v>4</v>
      </c>
      <c r="K173" t="str">
        <f>H173&amp;I173&amp;J173</f>
        <v>114</v>
      </c>
      <c r="L173" t="str">
        <f>IF(AND(H173&gt;=4,I173&gt;=4,J173&gt;=4),"Champion",IF(AND(H173&gt;=3,I173&gt;=3,J173&gt;=3),"Loyal",IF(AND(H173&gt;=4,I173&lt;=2),"At Risk","Churn Risk")))</f>
        <v>Churn Risk</v>
      </c>
      <c r="M173" t="str" cm="1">
        <f t="array" ref="M173">_xlfn.XLOOKUP(1,(Gym_data!$C:$C=$A173)*(Gym_data!$B:$B=$B173),Gym_data!$F:$F)</f>
        <v>6 Months</v>
      </c>
    </row>
    <row r="174" spans="1:13" x14ac:dyDescent="0.3">
      <c r="A174" t="s">
        <v>314</v>
      </c>
      <c r="B174" s="2">
        <f>_xlfn.MAXIFS(Gym_data!$B:$B,Gym_data!$C:$C,$A174)</f>
        <v>45722</v>
      </c>
      <c r="C174" s="2">
        <f>IF(M174="Monthly",B174+30,IF(M174="3 Months",B174+90,
 IF(M174="6 Months",B174+180,
 IF(M174="Yearly",B174+365,"Check Plan"))))</f>
        <v>45812</v>
      </c>
      <c r="D174" t="str">
        <f>IF($O$4&lt;=C174,"Active",IF($O$4-C174&lt;=30,"At Risk","Churn Risk"))</f>
        <v>Churn Risk</v>
      </c>
      <c r="E174">
        <f xml:space="preserve"> $O$4 - B174</f>
        <v>178</v>
      </c>
      <c r="F174">
        <f>COUNTIF(Gym_data!C:C, A174)</f>
        <v>1</v>
      </c>
      <c r="G174">
        <f>SUMIF(Gym_data!C:C, A174, Gym_data!E:E)</f>
        <v>4500</v>
      </c>
      <c r="H174">
        <f>IF(E174&lt;=30,5,IF(E174&lt;=60,4,IF(E174&lt;=90,3,IF(E174&lt;=120,2,1))))</f>
        <v>1</v>
      </c>
      <c r="I174">
        <f>IF(F174&gt;=5,5, IF(F174&gt;=4,4,IF(F174&gt;=3,3,IF(F174&gt;=2,2,1))))</f>
        <v>1</v>
      </c>
      <c r="J174">
        <f>IF(G174&gt;=5000,5,IF(G174&gt;=4000,4,IF(G174&gt;=3000,3,IF(G174&gt;=2000,2,1))))</f>
        <v>4</v>
      </c>
      <c r="K174" t="str">
        <f>H174&amp;I174&amp;J174</f>
        <v>114</v>
      </c>
      <c r="L174" t="str">
        <f>IF(AND(H174&gt;=4,I174&gt;=4,J174&gt;=4),"Champion",IF(AND(H174&gt;=3,I174&gt;=3,J174&gt;=3),"Loyal",IF(AND(H174&gt;=4,I174&lt;=2),"At Risk","Churn Risk")))</f>
        <v>Churn Risk</v>
      </c>
      <c r="M174" t="str" cm="1">
        <f t="array" ref="M174">_xlfn.XLOOKUP(1,(Gym_data!$C:$C=$A174)*(Gym_data!$B:$B=$B174),Gym_data!$F:$F)</f>
        <v>3 Months</v>
      </c>
    </row>
    <row r="175" spans="1:13" x14ac:dyDescent="0.3">
      <c r="A175" t="s">
        <v>316</v>
      </c>
      <c r="B175" s="2">
        <f>_xlfn.MAXIFS(Gym_data!$B:$B,Gym_data!$C:$C,$A175)</f>
        <v>45741</v>
      </c>
      <c r="C175" s="2">
        <f>IF(M175="Monthly",B175+30,IF(M175="3 Months",B175+90,
 IF(M175="6 Months",B175+180,
 IF(M175="Yearly",B175+365,"Check Plan"))))</f>
        <v>45831</v>
      </c>
      <c r="D175" t="str">
        <f>IF($O$4&lt;=C175,"Active",IF($O$4-C175&lt;=30,"At Risk","Churn Risk"))</f>
        <v>Churn Risk</v>
      </c>
      <c r="E175">
        <f xml:space="preserve"> $O$4 - B175</f>
        <v>159</v>
      </c>
      <c r="F175">
        <f>COUNTIF(Gym_data!C:C, A175)</f>
        <v>1</v>
      </c>
      <c r="G175">
        <f>SUMIF(Gym_data!C:C, A175, Gym_data!E:E)</f>
        <v>4000</v>
      </c>
      <c r="H175">
        <f>IF(E175&lt;=30,5,IF(E175&lt;=60,4,IF(E175&lt;=90,3,IF(E175&lt;=120,2,1))))</f>
        <v>1</v>
      </c>
      <c r="I175">
        <f>IF(F175&gt;=5,5, IF(F175&gt;=4,4,IF(F175&gt;=3,3,IF(F175&gt;=2,2,1))))</f>
        <v>1</v>
      </c>
      <c r="J175">
        <f>IF(G175&gt;=5000,5,IF(G175&gt;=4000,4,IF(G175&gt;=3000,3,IF(G175&gt;=2000,2,1))))</f>
        <v>4</v>
      </c>
      <c r="K175" t="str">
        <f>H175&amp;I175&amp;J175</f>
        <v>114</v>
      </c>
      <c r="L175" t="str">
        <f>IF(AND(H175&gt;=4,I175&gt;=4,J175&gt;=4),"Champion",IF(AND(H175&gt;=3,I175&gt;=3,J175&gt;=3),"Loyal",IF(AND(H175&gt;=4,I175&lt;=2),"At Risk","Churn Risk")))</f>
        <v>Churn Risk</v>
      </c>
      <c r="M175" t="str" cm="1">
        <f t="array" ref="M175">_xlfn.XLOOKUP(1,(Gym_data!$C:$C=$A175)*(Gym_data!$B:$B=$B175),Gym_data!$F:$F)</f>
        <v>3 Months</v>
      </c>
    </row>
    <row r="176" spans="1:13" x14ac:dyDescent="0.3">
      <c r="A176" t="s">
        <v>333</v>
      </c>
      <c r="B176" s="2">
        <f>_xlfn.MAXIFS(Gym_data!$B:$B,Gym_data!$C:$C,$A176)</f>
        <v>45729</v>
      </c>
      <c r="C176" s="2">
        <f>IF(M176="Monthly",B176+30,IF(M176="3 Months",B176+90,
 IF(M176="6 Months",B176+180,
 IF(M176="Yearly",B176+365,"Check Plan"))))</f>
        <v>45819</v>
      </c>
      <c r="D176" t="str">
        <f>IF($O$4&lt;=C176,"Active",IF($O$4-C176&lt;=30,"At Risk","Churn Risk"))</f>
        <v>Churn Risk</v>
      </c>
      <c r="E176">
        <f xml:space="preserve"> $O$4 - B176</f>
        <v>171</v>
      </c>
      <c r="F176">
        <f>COUNTIF(Gym_data!C:C, A176)</f>
        <v>1</v>
      </c>
      <c r="G176">
        <f>SUMIF(Gym_data!C:C, A176, Gym_data!E:E)</f>
        <v>4000</v>
      </c>
      <c r="H176">
        <f>IF(E176&lt;=30,5,IF(E176&lt;=60,4,IF(E176&lt;=90,3,IF(E176&lt;=120,2,1))))</f>
        <v>1</v>
      </c>
      <c r="I176">
        <f>IF(F176&gt;=5,5, IF(F176&gt;=4,4,IF(F176&gt;=3,3,IF(F176&gt;=2,2,1))))</f>
        <v>1</v>
      </c>
      <c r="J176">
        <f>IF(G176&gt;=5000,5,IF(G176&gt;=4000,4,IF(G176&gt;=3000,3,IF(G176&gt;=2000,2,1))))</f>
        <v>4</v>
      </c>
      <c r="K176" t="str">
        <f>H176&amp;I176&amp;J176</f>
        <v>114</v>
      </c>
      <c r="L176" t="str">
        <f>IF(AND(H176&gt;=4,I176&gt;=4,J176&gt;=4),"Champion",IF(AND(H176&gt;=3,I176&gt;=3,J176&gt;=3),"Loyal",IF(AND(H176&gt;=4,I176&lt;=2),"At Risk","Churn Risk")))</f>
        <v>Churn Risk</v>
      </c>
      <c r="M176" t="str" cm="1">
        <f t="array" ref="M176">_xlfn.XLOOKUP(1,(Gym_data!$C:$C=$A176)*(Gym_data!$B:$B=$B176),Gym_data!$F:$F)</f>
        <v>3 Months</v>
      </c>
    </row>
    <row r="177" spans="1:13" x14ac:dyDescent="0.3">
      <c r="A177" t="s">
        <v>349</v>
      </c>
      <c r="B177" s="2">
        <f>_xlfn.MAXIFS(Gym_data!$B:$B,Gym_data!$C:$C,$A177)</f>
        <v>45729</v>
      </c>
      <c r="C177" s="2">
        <f>IF(M177="Monthly",B177+30,IF(M177="3 Months",B177+90,
 IF(M177="6 Months",B177+180,
 IF(M177="Yearly",B177+365,"Check Plan"))))</f>
        <v>45819</v>
      </c>
      <c r="D177" t="str">
        <f>IF($O$4&lt;=C177,"Active",IF($O$4-C177&lt;=30,"At Risk","Churn Risk"))</f>
        <v>Churn Risk</v>
      </c>
      <c r="E177">
        <f xml:space="preserve"> $O$4 - B177</f>
        <v>171</v>
      </c>
      <c r="F177">
        <f>COUNTIF(Gym_data!C:C, A177)</f>
        <v>1</v>
      </c>
      <c r="G177">
        <f>SUMIF(Gym_data!C:C, A177, Gym_data!E:E)</f>
        <v>4000</v>
      </c>
      <c r="H177">
        <f>IF(E177&lt;=30,5,IF(E177&lt;=60,4,IF(E177&lt;=90,3,IF(E177&lt;=120,2,1))))</f>
        <v>1</v>
      </c>
      <c r="I177">
        <f>IF(F177&gt;=5,5, IF(F177&gt;=4,4,IF(F177&gt;=3,3,IF(F177&gt;=2,2,1))))</f>
        <v>1</v>
      </c>
      <c r="J177">
        <f>IF(G177&gt;=5000,5,IF(G177&gt;=4000,4,IF(G177&gt;=3000,3,IF(G177&gt;=2000,2,1))))</f>
        <v>4</v>
      </c>
      <c r="K177" t="str">
        <f>H177&amp;I177&amp;J177</f>
        <v>114</v>
      </c>
      <c r="L177" t="str">
        <f>IF(AND(H177&gt;=4,I177&gt;=4,J177&gt;=4),"Champion",IF(AND(H177&gt;=3,I177&gt;=3,J177&gt;=3),"Loyal",IF(AND(H177&gt;=4,I177&lt;=2),"At Risk","Churn Risk")))</f>
        <v>Churn Risk</v>
      </c>
      <c r="M177" t="str" cm="1">
        <f t="array" ref="M177">_xlfn.XLOOKUP(1,(Gym_data!$C:$C=$A177)*(Gym_data!$B:$B=$B177),Gym_data!$F:$F)</f>
        <v>3 Months</v>
      </c>
    </row>
    <row r="178" spans="1:13" x14ac:dyDescent="0.3">
      <c r="A178" t="s">
        <v>373</v>
      </c>
      <c r="B178" s="2">
        <f>_xlfn.MAXIFS(Gym_data!$B:$B,Gym_data!$C:$C,$A178)</f>
        <v>45778</v>
      </c>
      <c r="C178" s="2">
        <f>IF(M178="Monthly",B178+30,IF(M178="3 Months",B178+90,
 IF(M178="6 Months",B178+180,
 IF(M178="Yearly",B178+365,"Check Plan"))))</f>
        <v>45868</v>
      </c>
      <c r="D178" t="str">
        <f>IF($O$4&lt;=C178,"Active",IF($O$4-C178&lt;=30,"At Risk","Churn Risk"))</f>
        <v>Churn Risk</v>
      </c>
      <c r="E178">
        <f xml:space="preserve"> $O$4 - B178</f>
        <v>122</v>
      </c>
      <c r="F178">
        <f>COUNTIF(Gym_data!C:C, A178)</f>
        <v>1</v>
      </c>
      <c r="G178">
        <f>SUMIF(Gym_data!C:C, A178, Gym_data!E:E)</f>
        <v>4200</v>
      </c>
      <c r="H178">
        <f>IF(E178&lt;=30,5,IF(E178&lt;=60,4,IF(E178&lt;=90,3,IF(E178&lt;=120,2,1))))</f>
        <v>1</v>
      </c>
      <c r="I178">
        <f>IF(F178&gt;=5,5, IF(F178&gt;=4,4,IF(F178&gt;=3,3,IF(F178&gt;=2,2,1))))</f>
        <v>1</v>
      </c>
      <c r="J178">
        <f>IF(G178&gt;=5000,5,IF(G178&gt;=4000,4,IF(G178&gt;=3000,3,IF(G178&gt;=2000,2,1))))</f>
        <v>4</v>
      </c>
      <c r="K178" t="str">
        <f>H178&amp;I178&amp;J178</f>
        <v>114</v>
      </c>
      <c r="L178" t="str">
        <f>IF(AND(H178&gt;=4,I178&gt;=4,J178&gt;=4),"Champion",IF(AND(H178&gt;=3,I178&gt;=3,J178&gt;=3),"Loyal",IF(AND(H178&gt;=4,I178&lt;=2),"At Risk","Churn Risk")))</f>
        <v>Churn Risk</v>
      </c>
      <c r="M178" t="str" cm="1">
        <f t="array" ref="M178">_xlfn.XLOOKUP(1,(Gym_data!$C:$C=$A178)*(Gym_data!$B:$B=$B178),Gym_data!$F:$F)</f>
        <v>3 Months</v>
      </c>
    </row>
    <row r="179" spans="1:13" x14ac:dyDescent="0.3">
      <c r="A179" t="s">
        <v>222</v>
      </c>
      <c r="B179" s="2">
        <f>_xlfn.MAXIFS(Gym_data!$B:$B,Gym_data!$C:$C,$A179)</f>
        <v>45758</v>
      </c>
      <c r="C179" s="2">
        <f>IF(M179="Monthly",B179+30,IF(M179="3 Months",B179+90,
 IF(M179="6 Months",B179+180,
 IF(M179="Yearly",B179+365,"Check Plan"))))</f>
        <v>45848</v>
      </c>
      <c r="D179" t="str">
        <f>IF($O$4&lt;=C179,"Active",IF($O$4-C179&lt;=30,"At Risk","Churn Risk"))</f>
        <v>Churn Risk</v>
      </c>
      <c r="E179">
        <f xml:space="preserve"> $O$4 - B179</f>
        <v>142</v>
      </c>
      <c r="F179">
        <f>COUNTIF(Gym_data!C:C, A179)</f>
        <v>1</v>
      </c>
      <c r="G179">
        <f>SUMIF(Gym_data!C:C, A179, Gym_data!E:E)</f>
        <v>2400</v>
      </c>
      <c r="H179">
        <f>IF(E179&lt;=30,5,IF(E179&lt;=60,4,IF(E179&lt;=90,3,IF(E179&lt;=120,2,1))))</f>
        <v>1</v>
      </c>
      <c r="I179">
        <f>IF(F179&gt;=5,5, IF(F179&gt;=4,4,IF(F179&gt;=3,3,IF(F179&gt;=2,2,1))))</f>
        <v>1</v>
      </c>
      <c r="J179">
        <f>IF(G179&gt;=5000,5,IF(G179&gt;=4000,4,IF(G179&gt;=3000,3,IF(G179&gt;=2000,2,1))))</f>
        <v>2</v>
      </c>
      <c r="K179" t="str">
        <f>H179&amp;I179&amp;J179</f>
        <v>112</v>
      </c>
      <c r="L179" t="str">
        <f>IF(AND(H179&gt;=4,I179&gt;=4,J179&gt;=4),"Champion",IF(AND(H179&gt;=3,I179&gt;=3,J179&gt;=3),"Loyal",IF(AND(H179&gt;=4,I179&lt;=2),"At Risk","Churn Risk")))</f>
        <v>Churn Risk</v>
      </c>
      <c r="M179" t="str" cm="1">
        <f t="array" ref="M179">_xlfn.XLOOKUP(1,(Gym_data!$C:$C=$A179)*(Gym_data!$B:$B=$B179),Gym_data!$F:$F)</f>
        <v>3 Months</v>
      </c>
    </row>
    <row r="180" spans="1:13" x14ac:dyDescent="0.3">
      <c r="A180" t="s">
        <v>231</v>
      </c>
      <c r="B180" s="2">
        <f>_xlfn.MAXIFS(Gym_data!$B:$B,Gym_data!$C:$C,$A180)</f>
        <v>45761</v>
      </c>
      <c r="C180" s="2">
        <f>IF(M180="Monthly",B180+30,IF(M180="3 Months",B180+90,
 IF(M180="6 Months",B180+180,
 IF(M180="Yearly",B180+365,"Check Plan"))))</f>
        <v>45851</v>
      </c>
      <c r="D180" t="str">
        <f>IF($O$4&lt;=C180,"Active",IF($O$4-C180&lt;=30,"At Risk","Churn Risk"))</f>
        <v>Churn Risk</v>
      </c>
      <c r="E180">
        <f xml:space="preserve"> $O$4 - B180</f>
        <v>139</v>
      </c>
      <c r="F180">
        <f>COUNTIF(Gym_data!C:C, A180)</f>
        <v>1</v>
      </c>
      <c r="G180">
        <f>SUMIF(Gym_data!C:C, A180, Gym_data!E:E)</f>
        <v>2400</v>
      </c>
      <c r="H180">
        <f>IF(E180&lt;=30,5,IF(E180&lt;=60,4,IF(E180&lt;=90,3,IF(E180&lt;=120,2,1))))</f>
        <v>1</v>
      </c>
      <c r="I180">
        <f>IF(F180&gt;=5,5, IF(F180&gt;=4,4,IF(F180&gt;=3,3,IF(F180&gt;=2,2,1))))</f>
        <v>1</v>
      </c>
      <c r="J180">
        <f>IF(G180&gt;=5000,5,IF(G180&gt;=4000,4,IF(G180&gt;=3000,3,IF(G180&gt;=2000,2,1))))</f>
        <v>2</v>
      </c>
      <c r="K180" t="str">
        <f>H180&amp;I180&amp;J180</f>
        <v>112</v>
      </c>
      <c r="L180" t="str">
        <f>IF(AND(H180&gt;=4,I180&gt;=4,J180&gt;=4),"Champion",IF(AND(H180&gt;=3,I180&gt;=3,J180&gt;=3),"Loyal",IF(AND(H180&gt;=4,I180&lt;=2),"At Risk","Churn Risk")))</f>
        <v>Churn Risk</v>
      </c>
      <c r="M180" t="str" cm="1">
        <f t="array" ref="M180">_xlfn.XLOOKUP(1,(Gym_data!$C:$C=$A180)*(Gym_data!$B:$B=$B180),Gym_data!$F:$F)</f>
        <v>3 Months</v>
      </c>
    </row>
    <row r="181" spans="1:13" x14ac:dyDescent="0.3">
      <c r="A181" t="s">
        <v>257</v>
      </c>
      <c r="B181" s="2">
        <f>_xlfn.MAXIFS(Gym_data!$B:$B,Gym_data!$C:$C,$A181)</f>
        <v>45778</v>
      </c>
      <c r="C181" s="2">
        <f>IF(M181="Monthly",B181+30,IF(M181="3 Months",B181+90,
 IF(M181="6 Months",B181+180,
 IF(M181="Yearly",B181+365,"Check Plan"))))</f>
        <v>45868</v>
      </c>
      <c r="D181" t="str">
        <f>IF($O$4&lt;=C181,"Active",IF($O$4-C181&lt;=30,"At Risk","Churn Risk"))</f>
        <v>Churn Risk</v>
      </c>
      <c r="E181">
        <f xml:space="preserve"> $O$4 - B181</f>
        <v>122</v>
      </c>
      <c r="F181">
        <f>COUNTIF(Gym_data!C:C, A181)</f>
        <v>1</v>
      </c>
      <c r="G181">
        <f>SUMIF(Gym_data!C:C, A181, Gym_data!E:E)</f>
        <v>2400</v>
      </c>
      <c r="H181">
        <f>IF(E181&lt;=30,5,IF(E181&lt;=60,4,IF(E181&lt;=90,3,IF(E181&lt;=120,2,1))))</f>
        <v>1</v>
      </c>
      <c r="I181">
        <f>IF(F181&gt;=5,5, IF(F181&gt;=4,4,IF(F181&gt;=3,3,IF(F181&gt;=2,2,1))))</f>
        <v>1</v>
      </c>
      <c r="J181">
        <f>IF(G181&gt;=5000,5,IF(G181&gt;=4000,4,IF(G181&gt;=3000,3,IF(G181&gt;=2000,2,1))))</f>
        <v>2</v>
      </c>
      <c r="K181" t="str">
        <f>H181&amp;I181&amp;J181</f>
        <v>112</v>
      </c>
      <c r="L181" t="str">
        <f>IF(AND(H181&gt;=4,I181&gt;=4,J181&gt;=4),"Champion",IF(AND(H181&gt;=3,I181&gt;=3,J181&gt;=3),"Loyal",IF(AND(H181&gt;=4,I181&lt;=2),"At Risk","Churn Risk")))</f>
        <v>Churn Risk</v>
      </c>
      <c r="M181" t="str" cm="1">
        <f t="array" ref="M181">_xlfn.XLOOKUP(1,(Gym_data!$C:$C=$A181)*(Gym_data!$B:$B=$B181),Gym_data!$F:$F)</f>
        <v>3 Months</v>
      </c>
    </row>
    <row r="182" spans="1:13" x14ac:dyDescent="0.3">
      <c r="A182" t="s">
        <v>261</v>
      </c>
      <c r="B182" s="2">
        <f>_xlfn.MAXIFS(Gym_data!$B:$B,Gym_data!$C:$C,$A182)</f>
        <v>45758</v>
      </c>
      <c r="C182" s="2">
        <f>IF(M182="Monthly",B182+30,IF(M182="3 Months",B182+90,
 IF(M182="6 Months",B182+180,
 IF(M182="Yearly",B182+365,"Check Plan"))))</f>
        <v>45848</v>
      </c>
      <c r="D182" t="str">
        <f>IF($O$4&lt;=C182,"Active",IF($O$4-C182&lt;=30,"At Risk","Churn Risk"))</f>
        <v>Churn Risk</v>
      </c>
      <c r="E182">
        <f xml:space="preserve"> $O$4 - B182</f>
        <v>142</v>
      </c>
      <c r="F182">
        <f>COUNTIF(Gym_data!C:C, A182)</f>
        <v>1</v>
      </c>
      <c r="G182">
        <f>SUMIF(Gym_data!C:C, A182, Gym_data!E:E)</f>
        <v>2400</v>
      </c>
      <c r="H182">
        <f>IF(E182&lt;=30,5,IF(E182&lt;=60,4,IF(E182&lt;=90,3,IF(E182&lt;=120,2,1))))</f>
        <v>1</v>
      </c>
      <c r="I182">
        <f>IF(F182&gt;=5,5, IF(F182&gt;=4,4,IF(F182&gt;=3,3,IF(F182&gt;=2,2,1))))</f>
        <v>1</v>
      </c>
      <c r="J182">
        <f>IF(G182&gt;=5000,5,IF(G182&gt;=4000,4,IF(G182&gt;=3000,3,IF(G182&gt;=2000,2,1))))</f>
        <v>2</v>
      </c>
      <c r="K182" t="str">
        <f>H182&amp;I182&amp;J182</f>
        <v>112</v>
      </c>
      <c r="L182" t="str">
        <f>IF(AND(H182&gt;=4,I182&gt;=4,J182&gt;=4),"Champion",IF(AND(H182&gt;=3,I182&gt;=3,J182&gt;=3),"Loyal",IF(AND(H182&gt;=4,I182&lt;=2),"At Risk","Churn Risk")))</f>
        <v>Churn Risk</v>
      </c>
      <c r="M182" t="str" cm="1">
        <f t="array" ref="M182">_xlfn.XLOOKUP(1,(Gym_data!$C:$C=$A182)*(Gym_data!$B:$B=$B182),Gym_data!$F:$F)</f>
        <v>3 Months</v>
      </c>
    </row>
    <row r="183" spans="1:13" x14ac:dyDescent="0.3">
      <c r="A183" t="s">
        <v>323</v>
      </c>
      <c r="B183" s="2">
        <f>_xlfn.MAXIFS(Gym_data!$B:$B,Gym_data!$C:$C,$A183)</f>
        <v>45758</v>
      </c>
      <c r="C183" s="2">
        <f>IF(M183="Monthly",B183+30,IF(M183="3 Months",B183+90,
 IF(M183="6 Months",B183+180,
 IF(M183="Yearly",B183+365,"Check Plan"))))</f>
        <v>45848</v>
      </c>
      <c r="D183" t="str">
        <f>IF($O$4&lt;=C183,"Active",IF($O$4-C183&lt;=30,"At Risk","Churn Risk"))</f>
        <v>Churn Risk</v>
      </c>
      <c r="E183">
        <f xml:space="preserve"> $O$4 - B183</f>
        <v>142</v>
      </c>
      <c r="F183">
        <f>COUNTIF(Gym_data!C:C, A183)</f>
        <v>1</v>
      </c>
      <c r="G183">
        <f>SUMIF(Gym_data!C:C, A183, Gym_data!E:E)</f>
        <v>2400</v>
      </c>
      <c r="H183">
        <f>IF(E183&lt;=30,5,IF(E183&lt;=60,4,IF(E183&lt;=90,3,IF(E183&lt;=120,2,1))))</f>
        <v>1</v>
      </c>
      <c r="I183">
        <f>IF(F183&gt;=5,5, IF(F183&gt;=4,4,IF(F183&gt;=3,3,IF(F183&gt;=2,2,1))))</f>
        <v>1</v>
      </c>
      <c r="J183">
        <f>IF(G183&gt;=5000,5,IF(G183&gt;=4000,4,IF(G183&gt;=3000,3,IF(G183&gt;=2000,2,1))))</f>
        <v>2</v>
      </c>
      <c r="K183" t="str">
        <f>H183&amp;I183&amp;J183</f>
        <v>112</v>
      </c>
      <c r="L183" t="str">
        <f>IF(AND(H183&gt;=4,I183&gt;=4,J183&gt;=4),"Champion",IF(AND(H183&gt;=3,I183&gt;=3,J183&gt;=3),"Loyal",IF(AND(H183&gt;=4,I183&lt;=2),"At Risk","Churn Risk")))</f>
        <v>Churn Risk</v>
      </c>
      <c r="M183" t="str" cm="1">
        <f t="array" ref="M183">_xlfn.XLOOKUP(1,(Gym_data!$C:$C=$A183)*(Gym_data!$B:$B=$B183),Gym_data!$F:$F)</f>
        <v>3 Months</v>
      </c>
    </row>
    <row r="184" spans="1:13" x14ac:dyDescent="0.3">
      <c r="A184" t="s">
        <v>363</v>
      </c>
      <c r="B184" s="2">
        <f>_xlfn.MAXIFS(Gym_data!$B:$B,Gym_data!$C:$C,$A184)</f>
        <v>45751</v>
      </c>
      <c r="C184" s="2">
        <f>IF(M184="Monthly",B184+30,IF(M184="3 Months",B184+90,
 IF(M184="6 Months",B184+180,
 IF(M184="Yearly",B184+365,"Check Plan"))))</f>
        <v>45841</v>
      </c>
      <c r="D184" t="str">
        <f>IF($O$4&lt;=C184,"Active",IF($O$4-C184&lt;=30,"At Risk","Churn Risk"))</f>
        <v>Churn Risk</v>
      </c>
      <c r="E184">
        <f xml:space="preserve"> $O$4 - B184</f>
        <v>149</v>
      </c>
      <c r="F184">
        <f>COUNTIF(Gym_data!C:C, A184)</f>
        <v>1</v>
      </c>
      <c r="G184">
        <f>SUMIF(Gym_data!C:C, A184, Gym_data!E:E)</f>
        <v>2500</v>
      </c>
      <c r="H184">
        <f>IF(E184&lt;=30,5,IF(E184&lt;=60,4,IF(E184&lt;=90,3,IF(E184&lt;=120,2,1))))</f>
        <v>1</v>
      </c>
      <c r="I184">
        <f>IF(F184&gt;=5,5, IF(F184&gt;=4,4,IF(F184&gt;=3,3,IF(F184&gt;=2,2,1))))</f>
        <v>1</v>
      </c>
      <c r="J184">
        <f>IF(G184&gt;=5000,5,IF(G184&gt;=4000,4,IF(G184&gt;=3000,3,IF(G184&gt;=2000,2,1))))</f>
        <v>2</v>
      </c>
      <c r="K184" t="str">
        <f>H184&amp;I184&amp;J184</f>
        <v>112</v>
      </c>
      <c r="L184" t="str">
        <f>IF(AND(H184&gt;=4,I184&gt;=4,J184&gt;=4),"Champion",IF(AND(H184&gt;=3,I184&gt;=3,J184&gt;=3),"Loyal",IF(AND(H184&gt;=4,I184&lt;=2),"At Risk","Churn Risk")))</f>
        <v>Churn Risk</v>
      </c>
      <c r="M184" t="str" cm="1">
        <f t="array" ref="M184">_xlfn.XLOOKUP(1,(Gym_data!$C:$C=$A184)*(Gym_data!$B:$B=$B184),Gym_data!$F:$F)</f>
        <v>3 Months</v>
      </c>
    </row>
    <row r="185" spans="1:13" x14ac:dyDescent="0.3">
      <c r="A185" t="s">
        <v>398</v>
      </c>
      <c r="B185" s="2">
        <f>_xlfn.MAXIFS(Gym_data!$B:$B,Gym_data!$C:$C,$A185)</f>
        <v>45740</v>
      </c>
      <c r="C185" s="2">
        <f>IF(M185="Monthly",B185+30,IF(M185="3 Months",B185+90,
 IF(M185="6 Months",B185+180,
 IF(M185="Yearly",B185+365,"Check Plan"))))</f>
        <v>45830</v>
      </c>
      <c r="D185" t="str">
        <f>IF($O$4&lt;=C185,"Active",IF($O$4-C185&lt;=30,"At Risk","Churn Risk"))</f>
        <v>Churn Risk</v>
      </c>
      <c r="E185">
        <f xml:space="preserve"> $O$4 - B185</f>
        <v>160</v>
      </c>
      <c r="F185">
        <f>COUNTIF(Gym_data!C:C, A185)</f>
        <v>1</v>
      </c>
      <c r="G185">
        <f>SUMIF(Gym_data!C:C, A185, Gym_data!E:E)</f>
        <v>2400</v>
      </c>
      <c r="H185">
        <f>IF(E185&lt;=30,5,IF(E185&lt;=60,4,IF(E185&lt;=90,3,IF(E185&lt;=120,2,1))))</f>
        <v>1</v>
      </c>
      <c r="I185">
        <f>IF(F185&gt;=5,5, IF(F185&gt;=4,4,IF(F185&gt;=3,3,IF(F185&gt;=2,2,1))))</f>
        <v>1</v>
      </c>
      <c r="J185">
        <f>IF(G185&gt;=5000,5,IF(G185&gt;=4000,4,IF(G185&gt;=3000,3,IF(G185&gt;=2000,2,1))))</f>
        <v>2</v>
      </c>
      <c r="K185" t="str">
        <f>H185&amp;I185&amp;J185</f>
        <v>112</v>
      </c>
      <c r="L185" t="str">
        <f>IF(AND(H185&gt;=4,I185&gt;=4,J185&gt;=4),"Champion",IF(AND(H185&gt;=3,I185&gt;=3,J185&gt;=3),"Loyal",IF(AND(H185&gt;=4,I185&lt;=2),"At Risk","Churn Risk")))</f>
        <v>Churn Risk</v>
      </c>
      <c r="M185" t="str" cm="1">
        <f t="array" ref="M185">_xlfn.XLOOKUP(1,(Gym_data!$C:$C=$A185)*(Gym_data!$B:$B=$B185),Gym_data!$F:$F)</f>
        <v>3 Months</v>
      </c>
    </row>
    <row r="186" spans="1:13" x14ac:dyDescent="0.3">
      <c r="A186" t="s">
        <v>232</v>
      </c>
      <c r="B186" s="2">
        <f>_xlfn.MAXIFS(Gym_data!$B:$B,Gym_data!$C:$C,$A186)</f>
        <v>45734</v>
      </c>
      <c r="C186" s="2">
        <f>IF(M186="Monthly",B186+30,IF(M186="3 Months",B186+90,
 IF(M186="6 Months",B186+180,
 IF(M186="Yearly",B186+365,"Check Plan"))))</f>
        <v>45764</v>
      </c>
      <c r="D186" t="str">
        <f>IF($O$4&lt;=C186,"Active",IF($O$4-C186&lt;=30,"At Risk","Churn Risk"))</f>
        <v>Churn Risk</v>
      </c>
      <c r="E186">
        <f xml:space="preserve"> $O$4 - B186</f>
        <v>166</v>
      </c>
      <c r="F186">
        <f>COUNTIF(Gym_data!C:C, A186)</f>
        <v>1</v>
      </c>
      <c r="G186">
        <f>SUMIF(Gym_data!C:C, A186, Gym_data!E:E)</f>
        <v>1000</v>
      </c>
      <c r="H186">
        <f>IF(E186&lt;=30,5,IF(E186&lt;=60,4,IF(E186&lt;=90,3,IF(E186&lt;=120,2,1))))</f>
        <v>1</v>
      </c>
      <c r="I186">
        <f>IF(F186&gt;=5,5, IF(F186&gt;=4,4,IF(F186&gt;=3,3,IF(F186&gt;=2,2,1))))</f>
        <v>1</v>
      </c>
      <c r="J186">
        <f>IF(G186&gt;=5000,5,IF(G186&gt;=4000,4,IF(G186&gt;=3000,3,IF(G186&gt;=2000,2,1))))</f>
        <v>1</v>
      </c>
      <c r="K186" t="str">
        <f>H186&amp;I186&amp;J186</f>
        <v>111</v>
      </c>
      <c r="L186" t="str">
        <f>IF(AND(H186&gt;=4,I186&gt;=4,J186&gt;=4),"Champion",IF(AND(H186&gt;=3,I186&gt;=3,J186&gt;=3),"Loyal",IF(AND(H186&gt;=4,I186&lt;=2),"At Risk","Churn Risk")))</f>
        <v>Churn Risk</v>
      </c>
      <c r="M186" t="str" cm="1">
        <f t="array" ref="M186">_xlfn.XLOOKUP(1,(Gym_data!$C:$C=$A186)*(Gym_data!$B:$B=$B186),Gym_data!$F:$F)</f>
        <v>Monthly</v>
      </c>
    </row>
    <row r="187" spans="1:13" x14ac:dyDescent="0.3">
      <c r="A187" t="s">
        <v>242</v>
      </c>
      <c r="B187" s="2">
        <f>_xlfn.MAXIFS(Gym_data!$B:$B,Gym_data!$C:$C,$A187)</f>
        <v>45758</v>
      </c>
      <c r="C187" s="2">
        <f>IF(M187="Monthly",B187+30,IF(M187="3 Months",B187+90,
 IF(M187="6 Months",B187+180,
 IF(M187="Yearly",B187+365,"Check Plan"))))</f>
        <v>45788</v>
      </c>
      <c r="D187" t="str">
        <f>IF($O$4&lt;=C187,"Active",IF($O$4-C187&lt;=30,"At Risk","Churn Risk"))</f>
        <v>Churn Risk</v>
      </c>
      <c r="E187">
        <f xml:space="preserve"> $O$4 - B187</f>
        <v>142</v>
      </c>
      <c r="F187">
        <f>COUNTIF(Gym_data!C:C, A187)</f>
        <v>1</v>
      </c>
      <c r="G187">
        <f>SUMIF(Gym_data!C:C, A187, Gym_data!E:E)</f>
        <v>1000</v>
      </c>
      <c r="H187">
        <f>IF(E187&lt;=30,5,IF(E187&lt;=60,4,IF(E187&lt;=90,3,IF(E187&lt;=120,2,1))))</f>
        <v>1</v>
      </c>
      <c r="I187">
        <f>IF(F187&gt;=5,5, IF(F187&gt;=4,4,IF(F187&gt;=3,3,IF(F187&gt;=2,2,1))))</f>
        <v>1</v>
      </c>
      <c r="J187">
        <f>IF(G187&gt;=5000,5,IF(G187&gt;=4000,4,IF(G187&gt;=3000,3,IF(G187&gt;=2000,2,1))))</f>
        <v>1</v>
      </c>
      <c r="K187" t="str">
        <f>H187&amp;I187&amp;J187</f>
        <v>111</v>
      </c>
      <c r="L187" t="str">
        <f>IF(AND(H187&gt;=4,I187&gt;=4,J187&gt;=4),"Champion",IF(AND(H187&gt;=3,I187&gt;=3,J187&gt;=3),"Loyal",IF(AND(H187&gt;=4,I187&lt;=2),"At Risk","Churn Risk")))</f>
        <v>Churn Risk</v>
      </c>
      <c r="M187" t="str" cm="1">
        <f t="array" ref="M187">_xlfn.XLOOKUP(1,(Gym_data!$C:$C=$A187)*(Gym_data!$B:$B=$B187),Gym_data!$F:$F)</f>
        <v>Monthly</v>
      </c>
    </row>
    <row r="188" spans="1:13" x14ac:dyDescent="0.3">
      <c r="A188" t="s">
        <v>264</v>
      </c>
      <c r="B188" s="2">
        <f>_xlfn.MAXIFS(Gym_data!$B:$B,Gym_data!$C:$C,$A188)</f>
        <v>45751</v>
      </c>
      <c r="C188" s="2">
        <f>IF(M188="Monthly",B188+30,IF(M188="3 Months",B188+90,
 IF(M188="6 Months",B188+180,
 IF(M188="Yearly",B188+365,"Check Plan"))))</f>
        <v>45781</v>
      </c>
      <c r="D188" t="str">
        <f>IF($O$4&lt;=C188,"Active",IF($O$4-C188&lt;=30,"At Risk","Churn Risk"))</f>
        <v>Churn Risk</v>
      </c>
      <c r="E188">
        <f xml:space="preserve"> $O$4 - B188</f>
        <v>149</v>
      </c>
      <c r="F188">
        <f>COUNTIF(Gym_data!C:C, A188)</f>
        <v>1</v>
      </c>
      <c r="G188">
        <f>SUMIF(Gym_data!C:C, A188, Gym_data!E:E)</f>
        <v>1000</v>
      </c>
      <c r="H188">
        <f>IF(E188&lt;=30,5,IF(E188&lt;=60,4,IF(E188&lt;=90,3,IF(E188&lt;=120,2,1))))</f>
        <v>1</v>
      </c>
      <c r="I188">
        <f>IF(F188&gt;=5,5, IF(F188&gt;=4,4,IF(F188&gt;=3,3,IF(F188&gt;=2,2,1))))</f>
        <v>1</v>
      </c>
      <c r="J188">
        <f>IF(G188&gt;=5000,5,IF(G188&gt;=4000,4,IF(G188&gt;=3000,3,IF(G188&gt;=2000,2,1))))</f>
        <v>1</v>
      </c>
      <c r="K188" t="str">
        <f>H188&amp;I188&amp;J188</f>
        <v>111</v>
      </c>
      <c r="L188" t="str">
        <f>IF(AND(H188&gt;=4,I188&gt;=4,J188&gt;=4),"Champion",IF(AND(H188&gt;=3,I188&gt;=3,J188&gt;=3),"Loyal",IF(AND(H188&gt;=4,I188&lt;=2),"At Risk","Churn Risk")))</f>
        <v>Churn Risk</v>
      </c>
      <c r="M188" t="str" cm="1">
        <f t="array" ref="M188">_xlfn.XLOOKUP(1,(Gym_data!$C:$C=$A188)*(Gym_data!$B:$B=$B188),Gym_data!$F:$F)</f>
        <v>Monthly</v>
      </c>
    </row>
    <row r="189" spans="1:13" x14ac:dyDescent="0.3">
      <c r="A189" t="s">
        <v>270</v>
      </c>
      <c r="B189" s="2">
        <f>_xlfn.MAXIFS(Gym_data!$B:$B,Gym_data!$C:$C,$A189)</f>
        <v>45736</v>
      </c>
      <c r="C189" s="2">
        <f>IF(M189="Monthly",B189+30,IF(M189="3 Months",B189+90,
 IF(M189="6 Months",B189+180,
 IF(M189="Yearly",B189+365,"Check Plan"))))</f>
        <v>45766</v>
      </c>
      <c r="D189" t="str">
        <f>IF($O$4&lt;=C189,"Active",IF($O$4-C189&lt;=30,"At Risk","Churn Risk"))</f>
        <v>Churn Risk</v>
      </c>
      <c r="E189">
        <f xml:space="preserve"> $O$4 - B189</f>
        <v>164</v>
      </c>
      <c r="F189">
        <f>COUNTIF(Gym_data!C:C, A189)</f>
        <v>1</v>
      </c>
      <c r="G189">
        <f>SUMIF(Gym_data!C:C, A189, Gym_data!E:E)</f>
        <v>1000</v>
      </c>
      <c r="H189">
        <f>IF(E189&lt;=30,5,IF(E189&lt;=60,4,IF(E189&lt;=90,3,IF(E189&lt;=120,2,1))))</f>
        <v>1</v>
      </c>
      <c r="I189">
        <f>IF(F189&gt;=5,5, IF(F189&gt;=4,4,IF(F189&gt;=3,3,IF(F189&gt;=2,2,1))))</f>
        <v>1</v>
      </c>
      <c r="J189">
        <f>IF(G189&gt;=5000,5,IF(G189&gt;=4000,4,IF(G189&gt;=3000,3,IF(G189&gt;=2000,2,1))))</f>
        <v>1</v>
      </c>
      <c r="K189" t="str">
        <f>H189&amp;I189&amp;J189</f>
        <v>111</v>
      </c>
      <c r="L189" t="str">
        <f>IF(AND(H189&gt;=4,I189&gt;=4,J189&gt;=4),"Champion",IF(AND(H189&gt;=3,I189&gt;=3,J189&gt;=3),"Loyal",IF(AND(H189&gt;=4,I189&lt;=2),"At Risk","Churn Risk")))</f>
        <v>Churn Risk</v>
      </c>
      <c r="M189" t="str" cm="1">
        <f t="array" ref="M189">_xlfn.XLOOKUP(1,(Gym_data!$C:$C=$A189)*(Gym_data!$B:$B=$B189),Gym_data!$F:$F)</f>
        <v>Monthly</v>
      </c>
    </row>
    <row r="190" spans="1:13" x14ac:dyDescent="0.3">
      <c r="A190" t="s">
        <v>273</v>
      </c>
      <c r="B190" s="2">
        <f>_xlfn.MAXIFS(Gym_data!$B:$B,Gym_data!$C:$C,$A190)</f>
        <v>45761</v>
      </c>
      <c r="C190" s="2">
        <f>IF(M190="Monthly",B190+30,IF(M190="3 Months",B190+90,
 IF(M190="6 Months",B190+180,
 IF(M190="Yearly",B190+365,"Check Plan"))))</f>
        <v>45791</v>
      </c>
      <c r="D190" t="str">
        <f>IF($O$4&lt;=C190,"Active",IF($O$4-C190&lt;=30,"At Risk","Churn Risk"))</f>
        <v>Churn Risk</v>
      </c>
      <c r="E190">
        <f xml:space="preserve"> $O$4 - B190</f>
        <v>139</v>
      </c>
      <c r="F190">
        <f>COUNTIF(Gym_data!C:C, A190)</f>
        <v>1</v>
      </c>
      <c r="G190">
        <f>SUMIF(Gym_data!C:C, A190, Gym_data!E:E)</f>
        <v>1000</v>
      </c>
      <c r="H190">
        <f>IF(E190&lt;=30,5,IF(E190&lt;=60,4,IF(E190&lt;=90,3,IF(E190&lt;=120,2,1))))</f>
        <v>1</v>
      </c>
      <c r="I190">
        <f>IF(F190&gt;=5,5, IF(F190&gt;=4,4,IF(F190&gt;=3,3,IF(F190&gt;=2,2,1))))</f>
        <v>1</v>
      </c>
      <c r="J190">
        <f>IF(G190&gt;=5000,5,IF(G190&gt;=4000,4,IF(G190&gt;=3000,3,IF(G190&gt;=2000,2,1))))</f>
        <v>1</v>
      </c>
      <c r="K190" t="str">
        <f>H190&amp;I190&amp;J190</f>
        <v>111</v>
      </c>
      <c r="L190" t="str">
        <f>IF(AND(H190&gt;=4,I190&gt;=4,J190&gt;=4),"Champion",IF(AND(H190&gt;=3,I190&gt;=3,J190&gt;=3),"Loyal",IF(AND(H190&gt;=4,I190&lt;=2),"At Risk","Churn Risk")))</f>
        <v>Churn Risk</v>
      </c>
      <c r="M190" t="str" cm="1">
        <f t="array" ref="M190">_xlfn.XLOOKUP(1,(Gym_data!$C:$C=$A190)*(Gym_data!$B:$B=$B190),Gym_data!$F:$F)</f>
        <v>Monthly</v>
      </c>
    </row>
    <row r="191" spans="1:13" x14ac:dyDescent="0.3">
      <c r="A191" t="s">
        <v>306</v>
      </c>
      <c r="B191" s="2">
        <f>_xlfn.MAXIFS(Gym_data!$B:$B,Gym_data!$C:$C,$A191)</f>
        <v>45775</v>
      </c>
      <c r="C191" s="2">
        <f>IF(M191="Monthly",B191+30,IF(M191="3 Months",B191+90,
 IF(M191="6 Months",B191+180,
 IF(M191="Yearly",B191+365,"Check Plan"))))</f>
        <v>45805</v>
      </c>
      <c r="D191" t="str">
        <f>IF($O$4&lt;=C191,"Active",IF($O$4-C191&lt;=30,"At Risk","Churn Risk"))</f>
        <v>Churn Risk</v>
      </c>
      <c r="E191">
        <f xml:space="preserve"> $O$4 - B191</f>
        <v>125</v>
      </c>
      <c r="F191">
        <f>COUNTIF(Gym_data!C:C, A191)</f>
        <v>1</v>
      </c>
      <c r="G191">
        <f>SUMIF(Gym_data!C:C, A191, Gym_data!E:E)</f>
        <v>1000</v>
      </c>
      <c r="H191">
        <f>IF(E191&lt;=30,5,IF(E191&lt;=60,4,IF(E191&lt;=90,3,IF(E191&lt;=120,2,1))))</f>
        <v>1</v>
      </c>
      <c r="I191">
        <f>IF(F191&gt;=5,5, IF(F191&gt;=4,4,IF(F191&gt;=3,3,IF(F191&gt;=2,2,1))))</f>
        <v>1</v>
      </c>
      <c r="J191">
        <f>IF(G191&gt;=5000,5,IF(G191&gt;=4000,4,IF(G191&gt;=3000,3,IF(G191&gt;=2000,2,1))))</f>
        <v>1</v>
      </c>
      <c r="K191" t="str">
        <f>H191&amp;I191&amp;J191</f>
        <v>111</v>
      </c>
      <c r="L191" t="str">
        <f>IF(AND(H191&gt;=4,I191&gt;=4,J191&gt;=4),"Champion",IF(AND(H191&gt;=3,I191&gt;=3,J191&gt;=3),"Loyal",IF(AND(H191&gt;=4,I191&lt;=2),"At Risk","Churn Risk")))</f>
        <v>Churn Risk</v>
      </c>
      <c r="M191" t="str" cm="1">
        <f t="array" ref="M191">_xlfn.XLOOKUP(1,(Gym_data!$C:$C=$A191)*(Gym_data!$B:$B=$B191),Gym_data!$F:$F)</f>
        <v>Monthly</v>
      </c>
    </row>
    <row r="192" spans="1:13" x14ac:dyDescent="0.3">
      <c r="A192" t="s">
        <v>312</v>
      </c>
      <c r="B192" s="2">
        <f>_xlfn.MAXIFS(Gym_data!$B:$B,Gym_data!$C:$C,$A192)</f>
        <v>45753</v>
      </c>
      <c r="C192" s="2">
        <f>IF(M192="Monthly",B192+30,IF(M192="3 Months",B192+90,
 IF(M192="6 Months",B192+180,
 IF(M192="Yearly",B192+365,"Check Plan"))))</f>
        <v>45783</v>
      </c>
      <c r="D192" t="str">
        <f>IF($O$4&lt;=C192,"Active",IF($O$4-C192&lt;=30,"At Risk","Churn Risk"))</f>
        <v>Churn Risk</v>
      </c>
      <c r="E192">
        <f xml:space="preserve"> $O$4 - B192</f>
        <v>147</v>
      </c>
      <c r="F192">
        <f>COUNTIF(Gym_data!C:C, A192)</f>
        <v>1</v>
      </c>
      <c r="G192">
        <f>SUMIF(Gym_data!C:C, A192, Gym_data!E:E)</f>
        <v>1000</v>
      </c>
      <c r="H192">
        <f>IF(E192&lt;=30,5,IF(E192&lt;=60,4,IF(E192&lt;=90,3,IF(E192&lt;=120,2,1))))</f>
        <v>1</v>
      </c>
      <c r="I192">
        <f>IF(F192&gt;=5,5, IF(F192&gt;=4,4,IF(F192&gt;=3,3,IF(F192&gt;=2,2,1))))</f>
        <v>1</v>
      </c>
      <c r="J192">
        <f>IF(G192&gt;=5000,5,IF(G192&gt;=4000,4,IF(G192&gt;=3000,3,IF(G192&gt;=2000,2,1))))</f>
        <v>1</v>
      </c>
      <c r="K192" t="str">
        <f>H192&amp;I192&amp;J192</f>
        <v>111</v>
      </c>
      <c r="L192" t="str">
        <f>IF(AND(H192&gt;=4,I192&gt;=4,J192&gt;=4),"Champion",IF(AND(H192&gt;=3,I192&gt;=3,J192&gt;=3),"Loyal",IF(AND(H192&gt;=4,I192&lt;=2),"At Risk","Churn Risk")))</f>
        <v>Churn Risk</v>
      </c>
      <c r="M192" t="str" cm="1">
        <f t="array" ref="M192">_xlfn.XLOOKUP(1,(Gym_data!$C:$C=$A192)*(Gym_data!$B:$B=$B192),Gym_data!$F:$F)</f>
        <v>Monthly</v>
      </c>
    </row>
    <row r="193" spans="1:13" x14ac:dyDescent="0.3">
      <c r="A193" t="s">
        <v>325</v>
      </c>
      <c r="B193" s="2">
        <f>_xlfn.MAXIFS(Gym_data!$B:$B,Gym_data!$C:$C,$A193)</f>
        <v>45761</v>
      </c>
      <c r="C193" s="2">
        <f>IF(M193="Monthly",B193+30,IF(M193="3 Months",B193+90,
 IF(M193="6 Months",B193+180,
 IF(M193="Yearly",B193+365,"Check Plan"))))</f>
        <v>45791</v>
      </c>
      <c r="D193" t="str">
        <f>IF($O$4&lt;=C193,"Active",IF($O$4-C193&lt;=30,"At Risk","Churn Risk"))</f>
        <v>Churn Risk</v>
      </c>
      <c r="E193">
        <f xml:space="preserve"> $O$4 - B193</f>
        <v>139</v>
      </c>
      <c r="F193">
        <f>COUNTIF(Gym_data!C:C, A193)</f>
        <v>1</v>
      </c>
      <c r="G193">
        <f>SUMIF(Gym_data!C:C, A193, Gym_data!E:E)</f>
        <v>1000</v>
      </c>
      <c r="H193">
        <f>IF(E193&lt;=30,5,IF(E193&lt;=60,4,IF(E193&lt;=90,3,IF(E193&lt;=120,2,1))))</f>
        <v>1</v>
      </c>
      <c r="I193">
        <f>IF(F193&gt;=5,5, IF(F193&gt;=4,4,IF(F193&gt;=3,3,IF(F193&gt;=2,2,1))))</f>
        <v>1</v>
      </c>
      <c r="J193">
        <f>IF(G193&gt;=5000,5,IF(G193&gt;=4000,4,IF(G193&gt;=3000,3,IF(G193&gt;=2000,2,1))))</f>
        <v>1</v>
      </c>
      <c r="K193" t="str">
        <f>H193&amp;I193&amp;J193</f>
        <v>111</v>
      </c>
      <c r="L193" t="str">
        <f>IF(AND(H193&gt;=4,I193&gt;=4,J193&gt;=4),"Champion",IF(AND(H193&gt;=3,I193&gt;=3,J193&gt;=3),"Loyal",IF(AND(H193&gt;=4,I193&lt;=2),"At Risk","Churn Risk")))</f>
        <v>Churn Risk</v>
      </c>
      <c r="M193" t="str" cm="1">
        <f t="array" ref="M193">_xlfn.XLOOKUP(1,(Gym_data!$C:$C=$A193)*(Gym_data!$B:$B=$B193),Gym_data!$F:$F)</f>
        <v>Monthly</v>
      </c>
    </row>
    <row r="194" spans="1:13" x14ac:dyDescent="0.3">
      <c r="A194" t="s">
        <v>339</v>
      </c>
      <c r="B194" s="2">
        <f>_xlfn.MAXIFS(Gym_data!$B:$B,Gym_data!$C:$C,$A194)</f>
        <v>45761</v>
      </c>
      <c r="C194" s="2">
        <f>IF(M194="Monthly",B194+30,IF(M194="3 Months",B194+90,
 IF(M194="6 Months",B194+180,
 IF(M194="Yearly",B194+365,"Check Plan"))))</f>
        <v>45791</v>
      </c>
      <c r="D194" t="str">
        <f>IF($O$4&lt;=C194,"Active",IF($O$4-C194&lt;=30,"At Risk","Churn Risk"))</f>
        <v>Churn Risk</v>
      </c>
      <c r="E194">
        <f xml:space="preserve"> $O$4 - B194</f>
        <v>139</v>
      </c>
      <c r="F194">
        <f>COUNTIF(Gym_data!C:C, A194)</f>
        <v>1</v>
      </c>
      <c r="G194">
        <f>SUMIF(Gym_data!C:C, A194, Gym_data!E:E)</f>
        <v>1000</v>
      </c>
      <c r="H194">
        <f>IF(E194&lt;=30,5,IF(E194&lt;=60,4,IF(E194&lt;=90,3,IF(E194&lt;=120,2,1))))</f>
        <v>1</v>
      </c>
      <c r="I194">
        <f>IF(F194&gt;=5,5, IF(F194&gt;=4,4,IF(F194&gt;=3,3,IF(F194&gt;=2,2,1))))</f>
        <v>1</v>
      </c>
      <c r="J194">
        <f>IF(G194&gt;=5000,5,IF(G194&gt;=4000,4,IF(G194&gt;=3000,3,IF(G194&gt;=2000,2,1))))</f>
        <v>1</v>
      </c>
      <c r="K194" t="str">
        <f>H194&amp;I194&amp;J194</f>
        <v>111</v>
      </c>
      <c r="L194" t="str">
        <f>IF(AND(H194&gt;=4,I194&gt;=4,J194&gt;=4),"Champion",IF(AND(H194&gt;=3,I194&gt;=3,J194&gt;=3),"Loyal",IF(AND(H194&gt;=4,I194&lt;=2),"At Risk","Churn Risk")))</f>
        <v>Churn Risk</v>
      </c>
      <c r="M194" t="str" cm="1">
        <f t="array" ref="M194">_xlfn.XLOOKUP(1,(Gym_data!$C:$C=$A194)*(Gym_data!$B:$B=$B194),Gym_data!$F:$F)</f>
        <v>Monthly</v>
      </c>
    </row>
    <row r="195" spans="1:13" x14ac:dyDescent="0.3">
      <c r="A195" t="s">
        <v>350</v>
      </c>
      <c r="B195" s="2">
        <f>_xlfn.MAXIFS(Gym_data!$B:$B,Gym_data!$C:$C,$A195)</f>
        <v>45757</v>
      </c>
      <c r="C195" s="2">
        <f>IF(M195="Monthly",B195+30,IF(M195="3 Months",B195+90,
 IF(M195="6 Months",B195+180,
 IF(M195="Yearly",B195+365,"Check Plan"))))</f>
        <v>45787</v>
      </c>
      <c r="D195" t="str">
        <f>IF($O$4&lt;=C195,"Active",IF($O$4-C195&lt;=30,"At Risk","Churn Risk"))</f>
        <v>Churn Risk</v>
      </c>
      <c r="E195">
        <f xml:space="preserve"> $O$4 - B195</f>
        <v>143</v>
      </c>
      <c r="F195">
        <f>COUNTIF(Gym_data!C:C, A195)</f>
        <v>1</v>
      </c>
      <c r="G195">
        <f>SUMIF(Gym_data!C:C, A195, Gym_data!E:E)</f>
        <v>1000</v>
      </c>
      <c r="H195">
        <f>IF(E195&lt;=30,5,IF(E195&lt;=60,4,IF(E195&lt;=90,3,IF(E195&lt;=120,2,1))))</f>
        <v>1</v>
      </c>
      <c r="I195">
        <f>IF(F195&gt;=5,5, IF(F195&gt;=4,4,IF(F195&gt;=3,3,IF(F195&gt;=2,2,1))))</f>
        <v>1</v>
      </c>
      <c r="J195">
        <f>IF(G195&gt;=5000,5,IF(G195&gt;=4000,4,IF(G195&gt;=3000,3,IF(G195&gt;=2000,2,1))))</f>
        <v>1</v>
      </c>
      <c r="K195" t="str">
        <f>H195&amp;I195&amp;J195</f>
        <v>111</v>
      </c>
      <c r="L195" t="str">
        <f>IF(AND(H195&gt;=4,I195&gt;=4,J195&gt;=4),"Champion",IF(AND(H195&gt;=3,I195&gt;=3,J195&gt;=3),"Loyal",IF(AND(H195&gt;=4,I195&lt;=2),"At Risk","Churn Risk")))</f>
        <v>Churn Risk</v>
      </c>
      <c r="M195" t="str" cm="1">
        <f t="array" ref="M195">_xlfn.XLOOKUP(1,(Gym_data!$C:$C=$A195)*(Gym_data!$B:$B=$B195),Gym_data!$F:$F)</f>
        <v>Monthly</v>
      </c>
    </row>
    <row r="196" spans="1:13" x14ac:dyDescent="0.3">
      <c r="A196" t="s">
        <v>353</v>
      </c>
      <c r="B196" s="2">
        <f>_xlfn.MAXIFS(Gym_data!$B:$B,Gym_data!$C:$C,$A196)</f>
        <v>45765</v>
      </c>
      <c r="C196" s="2">
        <f>IF(M196="Monthly",B196+30,IF(M196="3 Months",B196+90,
 IF(M196="6 Months",B196+180,
 IF(M196="Yearly",B196+365,"Check Plan"))))</f>
        <v>45795</v>
      </c>
      <c r="D196" t="str">
        <f>IF($O$4&lt;=C196,"Active",IF($O$4-C196&lt;=30,"At Risk","Churn Risk"))</f>
        <v>Churn Risk</v>
      </c>
      <c r="E196">
        <f xml:space="preserve"> $O$4 - B196</f>
        <v>135</v>
      </c>
      <c r="F196">
        <f>COUNTIF(Gym_data!C:C, A196)</f>
        <v>1</v>
      </c>
      <c r="G196">
        <f>SUMIF(Gym_data!C:C, A196, Gym_data!E:E)</f>
        <v>1800</v>
      </c>
      <c r="H196">
        <f>IF(E196&lt;=30,5,IF(E196&lt;=60,4,IF(E196&lt;=90,3,IF(E196&lt;=120,2,1))))</f>
        <v>1</v>
      </c>
      <c r="I196">
        <f>IF(F196&gt;=5,5, IF(F196&gt;=4,4,IF(F196&gt;=3,3,IF(F196&gt;=2,2,1))))</f>
        <v>1</v>
      </c>
      <c r="J196">
        <f>IF(G196&gt;=5000,5,IF(G196&gt;=4000,4,IF(G196&gt;=3000,3,IF(G196&gt;=2000,2,1))))</f>
        <v>1</v>
      </c>
      <c r="K196" t="str">
        <f>H196&amp;I196&amp;J196</f>
        <v>111</v>
      </c>
      <c r="L196" t="str">
        <f>IF(AND(H196&gt;=4,I196&gt;=4,J196&gt;=4),"Champion",IF(AND(H196&gt;=3,I196&gt;=3,J196&gt;=3),"Loyal",IF(AND(H196&gt;=4,I196&lt;=2),"At Risk","Churn Risk")))</f>
        <v>Churn Risk</v>
      </c>
      <c r="M196" t="str" cm="1">
        <f t="array" ref="M196">_xlfn.XLOOKUP(1,(Gym_data!$C:$C=$A196)*(Gym_data!$B:$B=$B196),Gym_data!$F:$F)</f>
        <v>Monthly</v>
      </c>
    </row>
    <row r="197" spans="1:13" x14ac:dyDescent="0.3">
      <c r="A197" t="s">
        <v>361</v>
      </c>
      <c r="B197" s="2">
        <f>_xlfn.MAXIFS(Gym_data!$B:$B,Gym_data!$C:$C,$A197)</f>
        <v>45745</v>
      </c>
      <c r="C197" s="2">
        <f>IF(M197="Monthly",B197+30,IF(M197="3 Months",B197+90,
 IF(M197="6 Months",B197+180,
 IF(M197="Yearly",B197+365,"Check Plan"))))</f>
        <v>45775</v>
      </c>
      <c r="D197" t="str">
        <f>IF($O$4&lt;=C197,"Active",IF($O$4-C197&lt;=30,"At Risk","Churn Risk"))</f>
        <v>Churn Risk</v>
      </c>
      <c r="E197">
        <f xml:space="preserve"> $O$4 - B197</f>
        <v>155</v>
      </c>
      <c r="F197">
        <f>COUNTIF(Gym_data!C:C, A197)</f>
        <v>1</v>
      </c>
      <c r="G197">
        <f>SUMIF(Gym_data!C:C, A197, Gym_data!E:E)</f>
        <v>1000</v>
      </c>
      <c r="H197">
        <f>IF(E197&lt;=30,5,IF(E197&lt;=60,4,IF(E197&lt;=90,3,IF(E197&lt;=120,2,1))))</f>
        <v>1</v>
      </c>
      <c r="I197">
        <f>IF(F197&gt;=5,5, IF(F197&gt;=4,4,IF(F197&gt;=3,3,IF(F197&gt;=2,2,1))))</f>
        <v>1</v>
      </c>
      <c r="J197">
        <f>IF(G197&gt;=5000,5,IF(G197&gt;=4000,4,IF(G197&gt;=3000,3,IF(G197&gt;=2000,2,1))))</f>
        <v>1</v>
      </c>
      <c r="K197" t="str">
        <f>H197&amp;I197&amp;J197</f>
        <v>111</v>
      </c>
      <c r="L197" t="str">
        <f>IF(AND(H197&gt;=4,I197&gt;=4,J197&gt;=4),"Champion",IF(AND(H197&gt;=3,I197&gt;=3,J197&gt;=3),"Loyal",IF(AND(H197&gt;=4,I197&lt;=2),"At Risk","Churn Risk")))</f>
        <v>Churn Risk</v>
      </c>
      <c r="M197" t="str" cm="1">
        <f t="array" ref="M197">_xlfn.XLOOKUP(1,(Gym_data!$C:$C=$A197)*(Gym_data!$B:$B=$B197),Gym_data!$F:$F)</f>
        <v>Monthly</v>
      </c>
    </row>
    <row r="198" spans="1:13" x14ac:dyDescent="0.3">
      <c r="A198" t="s">
        <v>378</v>
      </c>
      <c r="B198" s="2">
        <f>_xlfn.MAXIFS(Gym_data!$B:$B,Gym_data!$C:$C,$A198)</f>
        <v>45733</v>
      </c>
      <c r="C198" s="2">
        <f>IF(M198="Monthly",B198+30,IF(M198="3 Months",B198+90,
 IF(M198="6 Months",B198+180,
 IF(M198="Yearly",B198+365,"Check Plan"))))</f>
        <v>45763</v>
      </c>
      <c r="D198" t="str">
        <f>IF($O$4&lt;=C198,"Active",IF($O$4-C198&lt;=30,"At Risk","Churn Risk"))</f>
        <v>Churn Risk</v>
      </c>
      <c r="E198">
        <f xml:space="preserve"> $O$4 - B198</f>
        <v>167</v>
      </c>
      <c r="F198">
        <f>COUNTIF(Gym_data!C:C, A198)</f>
        <v>1</v>
      </c>
      <c r="G198">
        <f>SUMIF(Gym_data!C:C, A198, Gym_data!E:E)</f>
        <v>1000</v>
      </c>
      <c r="H198">
        <f>IF(E198&lt;=30,5,IF(E198&lt;=60,4,IF(E198&lt;=90,3,IF(E198&lt;=120,2,1))))</f>
        <v>1</v>
      </c>
      <c r="I198">
        <f>IF(F198&gt;=5,5, IF(F198&gt;=4,4,IF(F198&gt;=3,3,IF(F198&gt;=2,2,1))))</f>
        <v>1</v>
      </c>
      <c r="J198">
        <f>IF(G198&gt;=5000,5,IF(G198&gt;=4000,4,IF(G198&gt;=3000,3,IF(G198&gt;=2000,2,1))))</f>
        <v>1</v>
      </c>
      <c r="K198" t="str">
        <f>H198&amp;I198&amp;J198</f>
        <v>111</v>
      </c>
      <c r="L198" t="str">
        <f>IF(AND(H198&gt;=4,I198&gt;=4,J198&gt;=4),"Champion",IF(AND(H198&gt;=3,I198&gt;=3,J198&gt;=3),"Loyal",IF(AND(H198&gt;=4,I198&lt;=2),"At Risk","Churn Risk")))</f>
        <v>Churn Risk</v>
      </c>
      <c r="M198" t="str" cm="1">
        <f t="array" ref="M198">_xlfn.XLOOKUP(1,(Gym_data!$C:$C=$A198)*(Gym_data!$B:$B=$B198),Gym_data!$F:$F)</f>
        <v>Monthly</v>
      </c>
    </row>
    <row r="199" spans="1:13" x14ac:dyDescent="0.3">
      <c r="A199" t="s">
        <v>388</v>
      </c>
      <c r="B199" s="2">
        <f>_xlfn.MAXIFS(Gym_data!$B:$B,Gym_data!$C:$C,$A199)</f>
        <v>45757</v>
      </c>
      <c r="C199" s="2">
        <f>IF(M199="Monthly",B199+30,IF(M199="3 Months",B199+90,
 IF(M199="6 Months",B199+180,
 IF(M199="Yearly",B199+365,"Check Plan"))))</f>
        <v>45787</v>
      </c>
      <c r="D199" t="str">
        <f>IF($O$4&lt;=C199,"Active",IF($O$4-C199&lt;=30,"At Risk","Churn Risk"))</f>
        <v>Churn Risk</v>
      </c>
      <c r="E199">
        <f xml:space="preserve"> $O$4 - B199</f>
        <v>143</v>
      </c>
      <c r="F199">
        <f>COUNTIF(Gym_data!C:C, A199)</f>
        <v>1</v>
      </c>
      <c r="G199">
        <f>SUMIF(Gym_data!C:C, A199, Gym_data!E:E)</f>
        <v>1000</v>
      </c>
      <c r="H199">
        <f>IF(E199&lt;=30,5,IF(E199&lt;=60,4,IF(E199&lt;=90,3,IF(E199&lt;=120,2,1))))</f>
        <v>1</v>
      </c>
      <c r="I199">
        <f>IF(F199&gt;=5,5, IF(F199&gt;=4,4,IF(F199&gt;=3,3,IF(F199&gt;=2,2,1))))</f>
        <v>1</v>
      </c>
      <c r="J199">
        <f>IF(G199&gt;=5000,5,IF(G199&gt;=4000,4,IF(G199&gt;=3000,3,IF(G199&gt;=2000,2,1))))</f>
        <v>1</v>
      </c>
      <c r="K199" t="str">
        <f>H199&amp;I199&amp;J199</f>
        <v>111</v>
      </c>
      <c r="L199" t="str">
        <f>IF(AND(H199&gt;=4,I199&gt;=4,J199&gt;=4),"Champion",IF(AND(H199&gt;=3,I199&gt;=3,J199&gt;=3),"Loyal",IF(AND(H199&gt;=4,I199&lt;=2),"At Risk","Churn Risk")))</f>
        <v>Churn Risk</v>
      </c>
      <c r="M199" t="str" cm="1">
        <f t="array" ref="M199">_xlfn.XLOOKUP(1,(Gym_data!$C:$C=$A199)*(Gym_data!$B:$B=$B199),Gym_data!$F:$F)</f>
        <v>Monthly</v>
      </c>
    </row>
    <row r="200" spans="1:13" x14ac:dyDescent="0.3">
      <c r="A200" t="s">
        <v>390</v>
      </c>
      <c r="B200" s="2">
        <f>_xlfn.MAXIFS(Gym_data!$B:$B,Gym_data!$C:$C,$A200)</f>
        <v>45763</v>
      </c>
      <c r="C200" s="2">
        <f>IF(M200="Monthly",B200+30,IF(M200="3 Months",B200+90,
 IF(M200="6 Months",B200+180,
 IF(M200="Yearly",B200+365,"Check Plan"))))</f>
        <v>45793</v>
      </c>
      <c r="D200" t="str">
        <f>IF($O$4&lt;=C200,"Active",IF($O$4-C200&lt;=30,"At Risk","Churn Risk"))</f>
        <v>Churn Risk</v>
      </c>
      <c r="E200">
        <f xml:space="preserve"> $O$4 - B200</f>
        <v>137</v>
      </c>
      <c r="F200">
        <f>COUNTIF(Gym_data!C:C, A200)</f>
        <v>1</v>
      </c>
      <c r="G200">
        <f>SUMIF(Gym_data!C:C, A200, Gym_data!E:E)</f>
        <v>1000</v>
      </c>
      <c r="H200">
        <f>IF(E200&lt;=30,5,IF(E200&lt;=60,4,IF(E200&lt;=90,3,IF(E200&lt;=120,2,1))))</f>
        <v>1</v>
      </c>
      <c r="I200">
        <f>IF(F200&gt;=5,5, IF(F200&gt;=4,4,IF(F200&gt;=3,3,IF(F200&gt;=2,2,1))))</f>
        <v>1</v>
      </c>
      <c r="J200">
        <f>IF(G200&gt;=5000,5,IF(G200&gt;=4000,4,IF(G200&gt;=3000,3,IF(G200&gt;=2000,2,1))))</f>
        <v>1</v>
      </c>
      <c r="K200" t="str">
        <f>H200&amp;I200&amp;J200</f>
        <v>111</v>
      </c>
      <c r="L200" t="str">
        <f>IF(AND(H200&gt;=4,I200&gt;=4,J200&gt;=4),"Champion",IF(AND(H200&gt;=3,I200&gt;=3,J200&gt;=3),"Loyal",IF(AND(H200&gt;=4,I200&lt;=2),"At Risk","Churn Risk")))</f>
        <v>Churn Risk</v>
      </c>
      <c r="M200" t="str" cm="1">
        <f t="array" ref="M200">_xlfn.XLOOKUP(1,(Gym_data!$C:$C=$A200)*(Gym_data!$B:$B=$B200),Gym_data!$F:$F)</f>
        <v>Monthly</v>
      </c>
    </row>
    <row r="201" spans="1:13" x14ac:dyDescent="0.3">
      <c r="A201" t="s">
        <v>392</v>
      </c>
      <c r="B201" s="2">
        <f>_xlfn.MAXIFS(Gym_data!$B:$B,Gym_data!$C:$C,$A201)</f>
        <v>45769</v>
      </c>
      <c r="C201" s="2">
        <f>IF(M201="Monthly",B201+30,IF(M201="3 Months",B201+90,
 IF(M201="6 Months",B201+180,
 IF(M201="Yearly",B201+365,"Check Plan"))))</f>
        <v>45799</v>
      </c>
      <c r="D201" t="str">
        <f>IF($O$4&lt;=C201,"Active",IF($O$4-C201&lt;=30,"At Risk","Churn Risk"))</f>
        <v>Churn Risk</v>
      </c>
      <c r="E201">
        <f xml:space="preserve"> $O$4 - B201</f>
        <v>131</v>
      </c>
      <c r="F201">
        <f>COUNTIF(Gym_data!C:C, A201)</f>
        <v>1</v>
      </c>
      <c r="G201">
        <f>SUMIF(Gym_data!C:C, A201, Gym_data!E:E)</f>
        <v>1000</v>
      </c>
      <c r="H201">
        <f>IF(E201&lt;=30,5,IF(E201&lt;=60,4,IF(E201&lt;=90,3,IF(E201&lt;=120,2,1))))</f>
        <v>1</v>
      </c>
      <c r="I201">
        <f>IF(F201&gt;=5,5, IF(F201&gt;=4,4,IF(F201&gt;=3,3,IF(F201&gt;=2,2,1))))</f>
        <v>1</v>
      </c>
      <c r="J201">
        <f>IF(G201&gt;=5000,5,IF(G201&gt;=4000,4,IF(G201&gt;=3000,3,IF(G201&gt;=2000,2,1))))</f>
        <v>1</v>
      </c>
      <c r="K201" t="str">
        <f>H201&amp;I201&amp;J201</f>
        <v>111</v>
      </c>
      <c r="L201" t="str">
        <f>IF(AND(H201&gt;=4,I201&gt;=4,J201&gt;=4),"Champion",IF(AND(H201&gt;=3,I201&gt;=3,J201&gt;=3),"Loyal",IF(AND(H201&gt;=4,I201&lt;=2),"At Risk","Churn Risk")))</f>
        <v>Churn Risk</v>
      </c>
      <c r="M201" t="str" cm="1">
        <f t="array" ref="M201">_xlfn.XLOOKUP(1,(Gym_data!$C:$C=$A201)*(Gym_data!$B:$B=$B201),Gym_data!$F:$F)</f>
        <v>Monthly</v>
      </c>
    </row>
    <row r="202" spans="1:13" x14ac:dyDescent="0.3">
      <c r="A202" t="s">
        <v>395</v>
      </c>
      <c r="B202" s="2">
        <f>_xlfn.MAXIFS(Gym_data!$B:$B,Gym_data!$C:$C,$A202)</f>
        <v>45763</v>
      </c>
      <c r="C202" s="2">
        <f>IF(M202="Monthly",B202+30,IF(M202="3 Months",B202+90,
 IF(M202="6 Months",B202+180,
 IF(M202="Yearly",B202+365,"Check Plan"))))</f>
        <v>45793</v>
      </c>
      <c r="D202" t="str">
        <f>IF($O$4&lt;=C202,"Active",IF($O$4-C202&lt;=30,"At Risk","Churn Risk"))</f>
        <v>Churn Risk</v>
      </c>
      <c r="E202">
        <f xml:space="preserve"> $O$4 - B202</f>
        <v>137</v>
      </c>
      <c r="F202">
        <f>COUNTIF(Gym_data!C:C, A202)</f>
        <v>1</v>
      </c>
      <c r="G202">
        <f>SUMIF(Gym_data!C:C, A202, Gym_data!E:E)</f>
        <v>1000</v>
      </c>
      <c r="H202">
        <f>IF(E202&lt;=30,5,IF(E202&lt;=60,4,IF(E202&lt;=90,3,IF(E202&lt;=120,2,1))))</f>
        <v>1</v>
      </c>
      <c r="I202">
        <f>IF(F202&gt;=5,5, IF(F202&gt;=4,4,IF(F202&gt;=3,3,IF(F202&gt;=2,2,1))))</f>
        <v>1</v>
      </c>
      <c r="J202">
        <f>IF(G202&gt;=5000,5,IF(G202&gt;=4000,4,IF(G202&gt;=3000,3,IF(G202&gt;=2000,2,1))))</f>
        <v>1</v>
      </c>
      <c r="K202" t="str">
        <f>H202&amp;I202&amp;J202</f>
        <v>111</v>
      </c>
      <c r="L202" t="str">
        <f>IF(AND(H202&gt;=4,I202&gt;=4,J202&gt;=4),"Champion",IF(AND(H202&gt;=3,I202&gt;=3,J202&gt;=3),"Loyal",IF(AND(H202&gt;=4,I202&lt;=2),"At Risk","Churn Risk")))</f>
        <v>Churn Risk</v>
      </c>
      <c r="M202" t="str" cm="1">
        <f t="array" ref="M202">_xlfn.XLOOKUP(1,(Gym_data!$C:$C=$A202)*(Gym_data!$B:$B=$B202),Gym_data!$F:$F)</f>
        <v>Monthly</v>
      </c>
    </row>
    <row r="203" spans="1:13" x14ac:dyDescent="0.3">
      <c r="A203" t="s">
        <v>403</v>
      </c>
      <c r="B203" s="2">
        <f>_xlfn.MAXIFS(Gym_data!$B:$B,Gym_data!$C:$C,$A203)</f>
        <v>45748</v>
      </c>
      <c r="C203" s="2">
        <f>IF(M203="Monthly",B203+30,IF(M203="3 Months",B203+90,
 IF(M203="6 Months",B203+180,
 IF(M203="Yearly",B203+365,"Check Plan"))))</f>
        <v>45778</v>
      </c>
      <c r="D203" t="str">
        <f>IF($O$4&lt;=C203,"Active",IF($O$4-C203&lt;=30,"At Risk","Churn Risk"))</f>
        <v>Churn Risk</v>
      </c>
      <c r="E203">
        <f xml:space="preserve"> $O$4 - B203</f>
        <v>152</v>
      </c>
      <c r="F203">
        <f>COUNTIF(Gym_data!C:C, A203)</f>
        <v>1</v>
      </c>
      <c r="G203">
        <f>SUMIF(Gym_data!C:C, A203, Gym_data!E:E)</f>
        <v>1000</v>
      </c>
      <c r="H203">
        <f>IF(E203&lt;=30,5,IF(E203&lt;=60,4,IF(E203&lt;=90,3,IF(E203&lt;=120,2,1))))</f>
        <v>1</v>
      </c>
      <c r="I203">
        <f>IF(F203&gt;=5,5, IF(F203&gt;=4,4,IF(F203&gt;=3,3,IF(F203&gt;=2,2,1))))</f>
        <v>1</v>
      </c>
      <c r="J203">
        <f>IF(G203&gt;=5000,5,IF(G203&gt;=4000,4,IF(G203&gt;=3000,3,IF(G203&gt;=2000,2,1))))</f>
        <v>1</v>
      </c>
      <c r="K203" t="str">
        <f>H203&amp;I203&amp;J203</f>
        <v>111</v>
      </c>
      <c r="L203" t="str">
        <f>IF(AND(H203&gt;=4,I203&gt;=4,J203&gt;=4),"Champion",IF(AND(H203&gt;=3,I203&gt;=3,J203&gt;=3),"Loyal",IF(AND(H203&gt;=4,I203&lt;=2),"At Risk","Churn Risk")))</f>
        <v>Churn Risk</v>
      </c>
      <c r="M203" t="str" cm="1">
        <f t="array" ref="M203">_xlfn.XLOOKUP(1,(Gym_data!$C:$C=$A203)*(Gym_data!$B:$B=$B203),Gym_data!$F:$F)</f>
        <v>Monthly</v>
      </c>
    </row>
    <row r="204" spans="1:13" x14ac:dyDescent="0.3">
      <c r="A204" t="s">
        <v>408</v>
      </c>
      <c r="B204" s="2">
        <f>_xlfn.MAXIFS(Gym_data!$B:$B,Gym_data!$C:$C,$A204)</f>
        <v>45779</v>
      </c>
      <c r="C204" s="2">
        <f>IF(M204="Monthly",B204+30,IF(M204="3 Months",B204+90,
 IF(M204="6 Months",B204+180,
 IF(M204="Yearly",B204+365,"Check Plan"))))</f>
        <v>45809</v>
      </c>
      <c r="D204" t="str">
        <f>IF($O$4&lt;=C204,"Active",IF($O$4-C204&lt;=30,"At Risk","Churn Risk"))</f>
        <v>Churn Risk</v>
      </c>
      <c r="E204">
        <f xml:space="preserve"> $O$4 - B204</f>
        <v>121</v>
      </c>
      <c r="F204">
        <f>COUNTIF(Gym_data!C:C, A204)</f>
        <v>1</v>
      </c>
      <c r="G204">
        <f>SUMIF(Gym_data!C:C, A204, Gym_data!E:E)</f>
        <v>1000</v>
      </c>
      <c r="H204">
        <f>IF(E204&lt;=30,5,IF(E204&lt;=60,4,IF(E204&lt;=90,3,IF(E204&lt;=120,2,1))))</f>
        <v>1</v>
      </c>
      <c r="I204">
        <f>IF(F204&gt;=5,5, IF(F204&gt;=4,4,IF(F204&gt;=3,3,IF(F204&gt;=2,2,1))))</f>
        <v>1</v>
      </c>
      <c r="J204">
        <f>IF(G204&gt;=5000,5,IF(G204&gt;=4000,4,IF(G204&gt;=3000,3,IF(G204&gt;=2000,2,1))))</f>
        <v>1</v>
      </c>
      <c r="K204" t="str">
        <f>H204&amp;I204&amp;J204</f>
        <v>111</v>
      </c>
      <c r="L204" t="str">
        <f>IF(AND(H204&gt;=4,I204&gt;=4,J204&gt;=4),"Champion",IF(AND(H204&gt;=3,I204&gt;=3,J204&gt;=3),"Loyal",IF(AND(H204&gt;=4,I204&lt;=2),"At Risk","Churn Risk")))</f>
        <v>Churn Risk</v>
      </c>
      <c r="M204" t="str" cm="1">
        <f t="array" ref="M204">_xlfn.XLOOKUP(1,(Gym_data!$C:$C=$A204)*(Gym_data!$B:$B=$B204),Gym_data!$F:$F)</f>
        <v>Monthly</v>
      </c>
    </row>
  </sheetData>
  <conditionalFormatting sqref="L1:L1048576">
    <cfRule type="cellIs" dxfId="5" priority="1" operator="equal">
      <formula>"Churn Risk"</formula>
    </cfRule>
    <cfRule type="containsText" dxfId="4" priority="2" operator="containsText" text="Churn Risk">
      <formula>NOT(ISERROR(SEARCH("Churn Risk",L1)))</formula>
    </cfRule>
    <cfRule type="containsText" dxfId="3" priority="3" operator="containsText" text="Churn Risk">
      <formula>NOT(ISERROR(SEARCH("Churn Risk",L1)))</formula>
    </cfRule>
    <cfRule type="containsText" dxfId="2" priority="4" operator="containsText" text="At Risk">
      <formula>NOT(ISERROR(SEARCH("At Risk",L1)))</formula>
    </cfRule>
    <cfRule type="containsText" dxfId="1" priority="5" operator="containsText" text="Loyal">
      <formula>NOT(ISERROR(SEARCH("Loyal",L1)))</formula>
    </cfRule>
    <cfRule type="containsText" dxfId="0" priority="6" operator="containsText" text="Champion">
      <formula>NOT(ISERROR(SEARCH("Champion",L1)))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480D-5C2D-429F-AF9F-1B3683190388}">
  <dimension ref="A1:B204"/>
  <sheetViews>
    <sheetView workbookViewId="0">
      <selection activeCell="E18" sqref="E18"/>
    </sheetView>
  </sheetViews>
  <sheetFormatPr defaultRowHeight="14.4" x14ac:dyDescent="0.3"/>
  <cols>
    <col min="1" max="1" width="18.5546875" customWidth="1"/>
    <col min="2" max="2" width="12.33203125" customWidth="1"/>
    <col min="3" max="3" width="8.88671875" customWidth="1"/>
  </cols>
  <sheetData>
    <row r="1" spans="1:2" ht="18" x14ac:dyDescent="0.35">
      <c r="A1" s="44" t="s">
        <v>474</v>
      </c>
      <c r="B1" s="20"/>
    </row>
    <row r="3" spans="1:2" x14ac:dyDescent="0.3">
      <c r="A3" t="s">
        <v>2</v>
      </c>
      <c r="B3" t="s">
        <v>209</v>
      </c>
    </row>
    <row r="4" spans="1:2" x14ac:dyDescent="0.3">
      <c r="A4" t="s">
        <v>5</v>
      </c>
      <c r="B4" t="s">
        <v>210</v>
      </c>
    </row>
    <row r="5" spans="1:2" x14ac:dyDescent="0.3">
      <c r="A5" t="s">
        <v>8</v>
      </c>
      <c r="B5" t="s">
        <v>211</v>
      </c>
    </row>
    <row r="6" spans="1:2" x14ac:dyDescent="0.3">
      <c r="A6" t="s">
        <v>10</v>
      </c>
      <c r="B6" t="s">
        <v>212</v>
      </c>
    </row>
    <row r="7" spans="1:2" x14ac:dyDescent="0.3">
      <c r="A7" t="s">
        <v>11</v>
      </c>
      <c r="B7" t="s">
        <v>213</v>
      </c>
    </row>
    <row r="8" spans="1:2" x14ac:dyDescent="0.3">
      <c r="A8" t="s">
        <v>12</v>
      </c>
      <c r="B8" t="s">
        <v>214</v>
      </c>
    </row>
    <row r="9" spans="1:2" x14ac:dyDescent="0.3">
      <c r="A9" t="s">
        <v>13</v>
      </c>
      <c r="B9" t="s">
        <v>215</v>
      </c>
    </row>
    <row r="10" spans="1:2" x14ac:dyDescent="0.3">
      <c r="A10" t="s">
        <v>14</v>
      </c>
      <c r="B10" t="s">
        <v>216</v>
      </c>
    </row>
    <row r="11" spans="1:2" x14ac:dyDescent="0.3">
      <c r="A11" t="s">
        <v>15</v>
      </c>
      <c r="B11" t="s">
        <v>217</v>
      </c>
    </row>
    <row r="12" spans="1:2" x14ac:dyDescent="0.3">
      <c r="A12" t="s">
        <v>16</v>
      </c>
      <c r="B12" t="s">
        <v>218</v>
      </c>
    </row>
    <row r="13" spans="1:2" x14ac:dyDescent="0.3">
      <c r="A13" t="s">
        <v>17</v>
      </c>
      <c r="B13" t="s">
        <v>219</v>
      </c>
    </row>
    <row r="14" spans="1:2" x14ac:dyDescent="0.3">
      <c r="A14" t="s">
        <v>18</v>
      </c>
      <c r="B14" t="s">
        <v>220</v>
      </c>
    </row>
    <row r="15" spans="1:2" x14ac:dyDescent="0.3">
      <c r="A15" t="s">
        <v>19</v>
      </c>
      <c r="B15" t="s">
        <v>221</v>
      </c>
    </row>
    <row r="16" spans="1:2" x14ac:dyDescent="0.3">
      <c r="A16" t="s">
        <v>20</v>
      </c>
      <c r="B16" t="s">
        <v>222</v>
      </c>
    </row>
    <row r="17" spans="1:2" x14ac:dyDescent="0.3">
      <c r="A17" t="s">
        <v>21</v>
      </c>
      <c r="B17" t="s">
        <v>223</v>
      </c>
    </row>
    <row r="18" spans="1:2" x14ac:dyDescent="0.3">
      <c r="A18" t="s">
        <v>22</v>
      </c>
      <c r="B18" t="s">
        <v>224</v>
      </c>
    </row>
    <row r="19" spans="1:2" x14ac:dyDescent="0.3">
      <c r="A19" t="s">
        <v>23</v>
      </c>
      <c r="B19" t="s">
        <v>225</v>
      </c>
    </row>
    <row r="20" spans="1:2" x14ac:dyDescent="0.3">
      <c r="A20" t="s">
        <v>24</v>
      </c>
      <c r="B20" t="s">
        <v>226</v>
      </c>
    </row>
    <row r="21" spans="1:2" x14ac:dyDescent="0.3">
      <c r="A21" t="s">
        <v>25</v>
      </c>
      <c r="B21" t="s">
        <v>227</v>
      </c>
    </row>
    <row r="22" spans="1:2" x14ac:dyDescent="0.3">
      <c r="A22" t="s">
        <v>26</v>
      </c>
      <c r="B22" t="s">
        <v>228</v>
      </c>
    </row>
    <row r="23" spans="1:2" x14ac:dyDescent="0.3">
      <c r="A23" t="s">
        <v>27</v>
      </c>
      <c r="B23" t="s">
        <v>229</v>
      </c>
    </row>
    <row r="24" spans="1:2" x14ac:dyDescent="0.3">
      <c r="A24" t="s">
        <v>28</v>
      </c>
      <c r="B24" t="s">
        <v>230</v>
      </c>
    </row>
    <row r="25" spans="1:2" x14ac:dyDescent="0.3">
      <c r="A25" t="s">
        <v>29</v>
      </c>
      <c r="B25" t="s">
        <v>231</v>
      </c>
    </row>
    <row r="26" spans="1:2" x14ac:dyDescent="0.3">
      <c r="A26" t="s">
        <v>30</v>
      </c>
      <c r="B26" t="s">
        <v>232</v>
      </c>
    </row>
    <row r="27" spans="1:2" x14ac:dyDescent="0.3">
      <c r="A27" t="s">
        <v>31</v>
      </c>
      <c r="B27" t="s">
        <v>233</v>
      </c>
    </row>
    <row r="28" spans="1:2" x14ac:dyDescent="0.3">
      <c r="A28" t="s">
        <v>32</v>
      </c>
      <c r="B28" t="s">
        <v>234</v>
      </c>
    </row>
    <row r="29" spans="1:2" x14ac:dyDescent="0.3">
      <c r="A29" t="s">
        <v>33</v>
      </c>
      <c r="B29" t="s">
        <v>235</v>
      </c>
    </row>
    <row r="30" spans="1:2" x14ac:dyDescent="0.3">
      <c r="A30" t="s">
        <v>34</v>
      </c>
      <c r="B30" t="s">
        <v>236</v>
      </c>
    </row>
    <row r="31" spans="1:2" x14ac:dyDescent="0.3">
      <c r="A31" t="s">
        <v>35</v>
      </c>
      <c r="B31" t="s">
        <v>237</v>
      </c>
    </row>
    <row r="32" spans="1:2" x14ac:dyDescent="0.3">
      <c r="A32" t="s">
        <v>36</v>
      </c>
      <c r="B32" t="s">
        <v>238</v>
      </c>
    </row>
    <row r="33" spans="1:2" x14ac:dyDescent="0.3">
      <c r="A33" t="s">
        <v>37</v>
      </c>
      <c r="B33" t="s">
        <v>239</v>
      </c>
    </row>
    <row r="34" spans="1:2" x14ac:dyDescent="0.3">
      <c r="A34" t="s">
        <v>38</v>
      </c>
      <c r="B34" t="s">
        <v>240</v>
      </c>
    </row>
    <row r="35" spans="1:2" x14ac:dyDescent="0.3">
      <c r="A35" t="s">
        <v>39</v>
      </c>
      <c r="B35" t="s">
        <v>241</v>
      </c>
    </row>
    <row r="36" spans="1:2" x14ac:dyDescent="0.3">
      <c r="A36" t="s">
        <v>40</v>
      </c>
      <c r="B36" t="s">
        <v>242</v>
      </c>
    </row>
    <row r="37" spans="1:2" x14ac:dyDescent="0.3">
      <c r="A37" t="s">
        <v>41</v>
      </c>
      <c r="B37" t="s">
        <v>243</v>
      </c>
    </row>
    <row r="38" spans="1:2" x14ac:dyDescent="0.3">
      <c r="A38" t="s">
        <v>42</v>
      </c>
      <c r="B38" t="s">
        <v>244</v>
      </c>
    </row>
    <row r="39" spans="1:2" x14ac:dyDescent="0.3">
      <c r="A39" t="s">
        <v>43</v>
      </c>
      <c r="B39" t="s">
        <v>245</v>
      </c>
    </row>
    <row r="40" spans="1:2" x14ac:dyDescent="0.3">
      <c r="A40" t="s">
        <v>44</v>
      </c>
      <c r="B40" t="s">
        <v>246</v>
      </c>
    </row>
    <row r="41" spans="1:2" x14ac:dyDescent="0.3">
      <c r="A41" t="s">
        <v>45</v>
      </c>
      <c r="B41" t="s">
        <v>247</v>
      </c>
    </row>
    <row r="42" spans="1:2" x14ac:dyDescent="0.3">
      <c r="A42" t="s">
        <v>46</v>
      </c>
      <c r="B42" t="s">
        <v>248</v>
      </c>
    </row>
    <row r="43" spans="1:2" x14ac:dyDescent="0.3">
      <c r="A43" t="s">
        <v>47</v>
      </c>
      <c r="B43" t="s">
        <v>249</v>
      </c>
    </row>
    <row r="44" spans="1:2" x14ac:dyDescent="0.3">
      <c r="A44" t="s">
        <v>48</v>
      </c>
      <c r="B44" t="s">
        <v>250</v>
      </c>
    </row>
    <row r="45" spans="1:2" x14ac:dyDescent="0.3">
      <c r="A45" t="s">
        <v>49</v>
      </c>
      <c r="B45" t="s">
        <v>251</v>
      </c>
    </row>
    <row r="46" spans="1:2" x14ac:dyDescent="0.3">
      <c r="A46" t="s">
        <v>50</v>
      </c>
      <c r="B46" t="s">
        <v>252</v>
      </c>
    </row>
    <row r="47" spans="1:2" x14ac:dyDescent="0.3">
      <c r="A47" t="s">
        <v>51</v>
      </c>
      <c r="B47" t="s">
        <v>253</v>
      </c>
    </row>
    <row r="48" spans="1:2" x14ac:dyDescent="0.3">
      <c r="A48" t="s">
        <v>52</v>
      </c>
      <c r="B48" t="s">
        <v>254</v>
      </c>
    </row>
    <row r="49" spans="1:2" x14ac:dyDescent="0.3">
      <c r="A49" t="s">
        <v>53</v>
      </c>
      <c r="B49" t="s">
        <v>255</v>
      </c>
    </row>
    <row r="50" spans="1:2" x14ac:dyDescent="0.3">
      <c r="A50" t="s">
        <v>54</v>
      </c>
      <c r="B50" t="s">
        <v>256</v>
      </c>
    </row>
    <row r="51" spans="1:2" x14ac:dyDescent="0.3">
      <c r="A51" t="s">
        <v>55</v>
      </c>
      <c r="B51" t="s">
        <v>257</v>
      </c>
    </row>
    <row r="52" spans="1:2" x14ac:dyDescent="0.3">
      <c r="A52" t="s">
        <v>56</v>
      </c>
      <c r="B52" t="s">
        <v>258</v>
      </c>
    </row>
    <row r="53" spans="1:2" x14ac:dyDescent="0.3">
      <c r="A53" t="s">
        <v>57</v>
      </c>
      <c r="B53" t="s">
        <v>259</v>
      </c>
    </row>
    <row r="54" spans="1:2" x14ac:dyDescent="0.3">
      <c r="A54" t="s">
        <v>58</v>
      </c>
      <c r="B54" t="s">
        <v>260</v>
      </c>
    </row>
    <row r="55" spans="1:2" x14ac:dyDescent="0.3">
      <c r="A55" t="s">
        <v>59</v>
      </c>
      <c r="B55" t="s">
        <v>261</v>
      </c>
    </row>
    <row r="56" spans="1:2" x14ac:dyDescent="0.3">
      <c r="A56" t="s">
        <v>60</v>
      </c>
      <c r="B56" t="s">
        <v>262</v>
      </c>
    </row>
    <row r="57" spans="1:2" x14ac:dyDescent="0.3">
      <c r="A57" t="s">
        <v>61</v>
      </c>
      <c r="B57" t="s">
        <v>263</v>
      </c>
    </row>
    <row r="58" spans="1:2" x14ac:dyDescent="0.3">
      <c r="A58" t="s">
        <v>62</v>
      </c>
      <c r="B58" t="s">
        <v>264</v>
      </c>
    </row>
    <row r="59" spans="1:2" x14ac:dyDescent="0.3">
      <c r="A59" t="s">
        <v>63</v>
      </c>
      <c r="B59" t="s">
        <v>265</v>
      </c>
    </row>
    <row r="60" spans="1:2" x14ac:dyDescent="0.3">
      <c r="A60" t="s">
        <v>64</v>
      </c>
      <c r="B60" t="s">
        <v>266</v>
      </c>
    </row>
    <row r="61" spans="1:2" x14ac:dyDescent="0.3">
      <c r="A61" t="s">
        <v>65</v>
      </c>
      <c r="B61" t="s">
        <v>267</v>
      </c>
    </row>
    <row r="62" spans="1:2" x14ac:dyDescent="0.3">
      <c r="A62" t="s">
        <v>66</v>
      </c>
      <c r="B62" t="s">
        <v>268</v>
      </c>
    </row>
    <row r="63" spans="1:2" x14ac:dyDescent="0.3">
      <c r="A63" t="s">
        <v>67</v>
      </c>
      <c r="B63" t="s">
        <v>269</v>
      </c>
    </row>
    <row r="64" spans="1:2" x14ac:dyDescent="0.3">
      <c r="A64" t="s">
        <v>68</v>
      </c>
      <c r="B64" t="s">
        <v>270</v>
      </c>
    </row>
    <row r="65" spans="1:2" x14ac:dyDescent="0.3">
      <c r="A65" t="s">
        <v>69</v>
      </c>
      <c r="B65" t="s">
        <v>271</v>
      </c>
    </row>
    <row r="66" spans="1:2" x14ac:dyDescent="0.3">
      <c r="A66" t="s">
        <v>70</v>
      </c>
      <c r="B66" t="s">
        <v>272</v>
      </c>
    </row>
    <row r="67" spans="1:2" x14ac:dyDescent="0.3">
      <c r="A67" t="s">
        <v>71</v>
      </c>
      <c r="B67" t="s">
        <v>273</v>
      </c>
    </row>
    <row r="68" spans="1:2" x14ac:dyDescent="0.3">
      <c r="A68" t="s">
        <v>72</v>
      </c>
      <c r="B68" t="s">
        <v>274</v>
      </c>
    </row>
    <row r="69" spans="1:2" x14ac:dyDescent="0.3">
      <c r="A69" t="s">
        <v>73</v>
      </c>
      <c r="B69" t="s">
        <v>275</v>
      </c>
    </row>
    <row r="70" spans="1:2" x14ac:dyDescent="0.3">
      <c r="A70" t="s">
        <v>74</v>
      </c>
      <c r="B70" t="s">
        <v>276</v>
      </c>
    </row>
    <row r="71" spans="1:2" x14ac:dyDescent="0.3">
      <c r="A71" t="s">
        <v>75</v>
      </c>
      <c r="B71" t="s">
        <v>277</v>
      </c>
    </row>
    <row r="72" spans="1:2" x14ac:dyDescent="0.3">
      <c r="A72" t="s">
        <v>76</v>
      </c>
      <c r="B72" t="s">
        <v>278</v>
      </c>
    </row>
    <row r="73" spans="1:2" x14ac:dyDescent="0.3">
      <c r="A73" t="s">
        <v>77</v>
      </c>
      <c r="B73" t="s">
        <v>279</v>
      </c>
    </row>
    <row r="74" spans="1:2" x14ac:dyDescent="0.3">
      <c r="A74" t="s">
        <v>78</v>
      </c>
      <c r="B74" t="s">
        <v>280</v>
      </c>
    </row>
    <row r="75" spans="1:2" x14ac:dyDescent="0.3">
      <c r="A75" t="s">
        <v>79</v>
      </c>
      <c r="B75" t="s">
        <v>281</v>
      </c>
    </row>
    <row r="76" spans="1:2" x14ac:dyDescent="0.3">
      <c r="A76" t="s">
        <v>80</v>
      </c>
      <c r="B76" t="s">
        <v>282</v>
      </c>
    </row>
    <row r="77" spans="1:2" x14ac:dyDescent="0.3">
      <c r="A77" t="s">
        <v>81</v>
      </c>
      <c r="B77" t="s">
        <v>283</v>
      </c>
    </row>
    <row r="78" spans="1:2" x14ac:dyDescent="0.3">
      <c r="A78" t="s">
        <v>82</v>
      </c>
      <c r="B78" t="s">
        <v>284</v>
      </c>
    </row>
    <row r="79" spans="1:2" x14ac:dyDescent="0.3">
      <c r="A79" t="s">
        <v>83</v>
      </c>
      <c r="B79" t="s">
        <v>285</v>
      </c>
    </row>
    <row r="80" spans="1:2" x14ac:dyDescent="0.3">
      <c r="A80" t="s">
        <v>84</v>
      </c>
      <c r="B80" t="s">
        <v>286</v>
      </c>
    </row>
    <row r="81" spans="1:2" x14ac:dyDescent="0.3">
      <c r="A81" t="s">
        <v>85</v>
      </c>
      <c r="B81" t="s">
        <v>287</v>
      </c>
    </row>
    <row r="82" spans="1:2" x14ac:dyDescent="0.3">
      <c r="A82" t="s">
        <v>86</v>
      </c>
      <c r="B82" t="s">
        <v>288</v>
      </c>
    </row>
    <row r="83" spans="1:2" x14ac:dyDescent="0.3">
      <c r="A83" t="s">
        <v>87</v>
      </c>
      <c r="B83" t="s">
        <v>289</v>
      </c>
    </row>
    <row r="84" spans="1:2" x14ac:dyDescent="0.3">
      <c r="A84" t="s">
        <v>88</v>
      </c>
      <c r="B84" t="s">
        <v>290</v>
      </c>
    </row>
    <row r="85" spans="1:2" x14ac:dyDescent="0.3">
      <c r="A85" t="s">
        <v>89</v>
      </c>
      <c r="B85" t="s">
        <v>291</v>
      </c>
    </row>
    <row r="86" spans="1:2" x14ac:dyDescent="0.3">
      <c r="A86" t="s">
        <v>90</v>
      </c>
      <c r="B86" t="s">
        <v>292</v>
      </c>
    </row>
    <row r="87" spans="1:2" x14ac:dyDescent="0.3">
      <c r="A87" t="s">
        <v>91</v>
      </c>
      <c r="B87" t="s">
        <v>293</v>
      </c>
    </row>
    <row r="88" spans="1:2" x14ac:dyDescent="0.3">
      <c r="A88" t="s">
        <v>92</v>
      </c>
      <c r="B88" t="s">
        <v>294</v>
      </c>
    </row>
    <row r="89" spans="1:2" x14ac:dyDescent="0.3">
      <c r="A89" t="s">
        <v>93</v>
      </c>
      <c r="B89" t="s">
        <v>295</v>
      </c>
    </row>
    <row r="90" spans="1:2" x14ac:dyDescent="0.3">
      <c r="A90" t="s">
        <v>94</v>
      </c>
      <c r="B90" t="s">
        <v>296</v>
      </c>
    </row>
    <row r="91" spans="1:2" x14ac:dyDescent="0.3">
      <c r="A91" t="s">
        <v>95</v>
      </c>
      <c r="B91" t="s">
        <v>297</v>
      </c>
    </row>
    <row r="92" spans="1:2" x14ac:dyDescent="0.3">
      <c r="A92" t="s">
        <v>96</v>
      </c>
      <c r="B92" t="s">
        <v>298</v>
      </c>
    </row>
    <row r="93" spans="1:2" x14ac:dyDescent="0.3">
      <c r="A93" t="s">
        <v>97</v>
      </c>
      <c r="B93" t="s">
        <v>299</v>
      </c>
    </row>
    <row r="94" spans="1:2" x14ac:dyDescent="0.3">
      <c r="A94" t="s">
        <v>98</v>
      </c>
      <c r="B94" t="s">
        <v>300</v>
      </c>
    </row>
    <row r="95" spans="1:2" x14ac:dyDescent="0.3">
      <c r="A95" t="s">
        <v>99</v>
      </c>
      <c r="B95" t="s">
        <v>301</v>
      </c>
    </row>
    <row r="96" spans="1:2" x14ac:dyDescent="0.3">
      <c r="A96" t="s">
        <v>100</v>
      </c>
      <c r="B96" t="s">
        <v>302</v>
      </c>
    </row>
    <row r="97" spans="1:2" x14ac:dyDescent="0.3">
      <c r="A97" t="s">
        <v>101</v>
      </c>
      <c r="B97" t="s">
        <v>303</v>
      </c>
    </row>
    <row r="98" spans="1:2" x14ac:dyDescent="0.3">
      <c r="A98" t="s">
        <v>102</v>
      </c>
      <c r="B98" t="s">
        <v>304</v>
      </c>
    </row>
    <row r="99" spans="1:2" x14ac:dyDescent="0.3">
      <c r="A99" t="s">
        <v>103</v>
      </c>
      <c r="B99" t="s">
        <v>305</v>
      </c>
    </row>
    <row r="100" spans="1:2" x14ac:dyDescent="0.3">
      <c r="A100" t="s">
        <v>104</v>
      </c>
      <c r="B100" t="s">
        <v>306</v>
      </c>
    </row>
    <row r="101" spans="1:2" x14ac:dyDescent="0.3">
      <c r="A101" t="s">
        <v>105</v>
      </c>
      <c r="B101" t="s">
        <v>307</v>
      </c>
    </row>
    <row r="102" spans="1:2" x14ac:dyDescent="0.3">
      <c r="A102" t="s">
        <v>106</v>
      </c>
      <c r="B102" t="s">
        <v>308</v>
      </c>
    </row>
    <row r="103" spans="1:2" x14ac:dyDescent="0.3">
      <c r="A103" t="s">
        <v>107</v>
      </c>
      <c r="B103" t="s">
        <v>309</v>
      </c>
    </row>
    <row r="104" spans="1:2" x14ac:dyDescent="0.3">
      <c r="A104" t="s">
        <v>108</v>
      </c>
      <c r="B104" t="s">
        <v>310</v>
      </c>
    </row>
    <row r="105" spans="1:2" x14ac:dyDescent="0.3">
      <c r="A105" t="s">
        <v>109</v>
      </c>
      <c r="B105" t="s">
        <v>311</v>
      </c>
    </row>
    <row r="106" spans="1:2" x14ac:dyDescent="0.3">
      <c r="A106" t="s">
        <v>110</v>
      </c>
      <c r="B106" t="s">
        <v>312</v>
      </c>
    </row>
    <row r="107" spans="1:2" x14ac:dyDescent="0.3">
      <c r="A107" t="s">
        <v>111</v>
      </c>
      <c r="B107" t="s">
        <v>313</v>
      </c>
    </row>
    <row r="108" spans="1:2" x14ac:dyDescent="0.3">
      <c r="A108" t="s">
        <v>112</v>
      </c>
      <c r="B108" t="s">
        <v>314</v>
      </c>
    </row>
    <row r="109" spans="1:2" x14ac:dyDescent="0.3">
      <c r="A109" t="s">
        <v>113</v>
      </c>
      <c r="B109" t="s">
        <v>315</v>
      </c>
    </row>
    <row r="110" spans="1:2" x14ac:dyDescent="0.3">
      <c r="A110" t="s">
        <v>114</v>
      </c>
      <c r="B110" t="s">
        <v>316</v>
      </c>
    </row>
    <row r="111" spans="1:2" x14ac:dyDescent="0.3">
      <c r="A111" t="s">
        <v>115</v>
      </c>
      <c r="B111" t="s">
        <v>317</v>
      </c>
    </row>
    <row r="112" spans="1:2" x14ac:dyDescent="0.3">
      <c r="A112" t="s">
        <v>116</v>
      </c>
      <c r="B112" t="s">
        <v>318</v>
      </c>
    </row>
    <row r="113" spans="1:2" x14ac:dyDescent="0.3">
      <c r="A113" t="s">
        <v>117</v>
      </c>
      <c r="B113" t="s">
        <v>319</v>
      </c>
    </row>
    <row r="114" spans="1:2" x14ac:dyDescent="0.3">
      <c r="A114" t="s">
        <v>118</v>
      </c>
      <c r="B114" t="s">
        <v>320</v>
      </c>
    </row>
    <row r="115" spans="1:2" x14ac:dyDescent="0.3">
      <c r="A115" t="s">
        <v>119</v>
      </c>
      <c r="B115" t="s">
        <v>321</v>
      </c>
    </row>
    <row r="116" spans="1:2" x14ac:dyDescent="0.3">
      <c r="A116" t="s">
        <v>120</v>
      </c>
      <c r="B116" t="s">
        <v>322</v>
      </c>
    </row>
    <row r="117" spans="1:2" x14ac:dyDescent="0.3">
      <c r="A117" t="s">
        <v>121</v>
      </c>
      <c r="B117" t="s">
        <v>323</v>
      </c>
    </row>
    <row r="118" spans="1:2" x14ac:dyDescent="0.3">
      <c r="A118" t="s">
        <v>122</v>
      </c>
      <c r="B118" t="s">
        <v>324</v>
      </c>
    </row>
    <row r="119" spans="1:2" x14ac:dyDescent="0.3">
      <c r="A119" t="s">
        <v>123</v>
      </c>
      <c r="B119" t="s">
        <v>325</v>
      </c>
    </row>
    <row r="120" spans="1:2" x14ac:dyDescent="0.3">
      <c r="A120" t="s">
        <v>124</v>
      </c>
      <c r="B120" t="s">
        <v>326</v>
      </c>
    </row>
    <row r="121" spans="1:2" x14ac:dyDescent="0.3">
      <c r="A121" t="s">
        <v>125</v>
      </c>
      <c r="B121" t="s">
        <v>327</v>
      </c>
    </row>
    <row r="122" spans="1:2" x14ac:dyDescent="0.3">
      <c r="A122" t="s">
        <v>126</v>
      </c>
      <c r="B122" t="s">
        <v>328</v>
      </c>
    </row>
    <row r="123" spans="1:2" x14ac:dyDescent="0.3">
      <c r="A123" t="s">
        <v>127</v>
      </c>
      <c r="B123" t="s">
        <v>329</v>
      </c>
    </row>
    <row r="124" spans="1:2" x14ac:dyDescent="0.3">
      <c r="A124" t="s">
        <v>128</v>
      </c>
      <c r="B124" t="s">
        <v>330</v>
      </c>
    </row>
    <row r="125" spans="1:2" x14ac:dyDescent="0.3">
      <c r="A125" t="s">
        <v>129</v>
      </c>
      <c r="B125" t="s">
        <v>331</v>
      </c>
    </row>
    <row r="126" spans="1:2" x14ac:dyDescent="0.3">
      <c r="A126" t="s">
        <v>130</v>
      </c>
      <c r="B126" t="s">
        <v>332</v>
      </c>
    </row>
    <row r="127" spans="1:2" x14ac:dyDescent="0.3">
      <c r="A127" t="s">
        <v>131</v>
      </c>
      <c r="B127" t="s">
        <v>333</v>
      </c>
    </row>
    <row r="128" spans="1:2" x14ac:dyDescent="0.3">
      <c r="A128" t="s">
        <v>132</v>
      </c>
      <c r="B128" t="s">
        <v>334</v>
      </c>
    </row>
    <row r="129" spans="1:2" x14ac:dyDescent="0.3">
      <c r="A129" t="s">
        <v>133</v>
      </c>
      <c r="B129" t="s">
        <v>335</v>
      </c>
    </row>
    <row r="130" spans="1:2" x14ac:dyDescent="0.3">
      <c r="A130" t="s">
        <v>134</v>
      </c>
      <c r="B130" t="s">
        <v>336</v>
      </c>
    </row>
    <row r="131" spans="1:2" x14ac:dyDescent="0.3">
      <c r="A131" t="s">
        <v>135</v>
      </c>
      <c r="B131" t="s">
        <v>337</v>
      </c>
    </row>
    <row r="132" spans="1:2" x14ac:dyDescent="0.3">
      <c r="A132" t="s">
        <v>136</v>
      </c>
      <c r="B132" t="s">
        <v>338</v>
      </c>
    </row>
    <row r="133" spans="1:2" x14ac:dyDescent="0.3">
      <c r="A133" t="s">
        <v>137</v>
      </c>
      <c r="B133" t="s">
        <v>339</v>
      </c>
    </row>
    <row r="134" spans="1:2" x14ac:dyDescent="0.3">
      <c r="A134" t="s">
        <v>138</v>
      </c>
      <c r="B134" t="s">
        <v>340</v>
      </c>
    </row>
    <row r="135" spans="1:2" x14ac:dyDescent="0.3">
      <c r="A135" t="s">
        <v>139</v>
      </c>
      <c r="B135" t="s">
        <v>341</v>
      </c>
    </row>
    <row r="136" spans="1:2" x14ac:dyDescent="0.3">
      <c r="A136" t="s">
        <v>140</v>
      </c>
      <c r="B136" t="s">
        <v>342</v>
      </c>
    </row>
    <row r="137" spans="1:2" x14ac:dyDescent="0.3">
      <c r="A137" t="s">
        <v>141</v>
      </c>
      <c r="B137" t="s">
        <v>343</v>
      </c>
    </row>
    <row r="138" spans="1:2" x14ac:dyDescent="0.3">
      <c r="A138" t="s">
        <v>142</v>
      </c>
      <c r="B138" t="s">
        <v>344</v>
      </c>
    </row>
    <row r="139" spans="1:2" x14ac:dyDescent="0.3">
      <c r="A139" t="s">
        <v>143</v>
      </c>
      <c r="B139" t="s">
        <v>345</v>
      </c>
    </row>
    <row r="140" spans="1:2" x14ac:dyDescent="0.3">
      <c r="A140" t="s">
        <v>144</v>
      </c>
      <c r="B140" t="s">
        <v>346</v>
      </c>
    </row>
    <row r="141" spans="1:2" x14ac:dyDescent="0.3">
      <c r="A141" t="s">
        <v>145</v>
      </c>
      <c r="B141" t="s">
        <v>347</v>
      </c>
    </row>
    <row r="142" spans="1:2" x14ac:dyDescent="0.3">
      <c r="A142" t="s">
        <v>146</v>
      </c>
      <c r="B142" t="s">
        <v>348</v>
      </c>
    </row>
    <row r="143" spans="1:2" x14ac:dyDescent="0.3">
      <c r="A143" t="s">
        <v>147</v>
      </c>
      <c r="B143" t="s">
        <v>349</v>
      </c>
    </row>
    <row r="144" spans="1:2" x14ac:dyDescent="0.3">
      <c r="A144" t="s">
        <v>148</v>
      </c>
      <c r="B144" t="s">
        <v>350</v>
      </c>
    </row>
    <row r="145" spans="1:2" x14ac:dyDescent="0.3">
      <c r="A145" t="s">
        <v>149</v>
      </c>
      <c r="B145" t="s">
        <v>351</v>
      </c>
    </row>
    <row r="146" spans="1:2" x14ac:dyDescent="0.3">
      <c r="A146" t="s">
        <v>150</v>
      </c>
      <c r="B146" t="s">
        <v>352</v>
      </c>
    </row>
    <row r="147" spans="1:2" x14ac:dyDescent="0.3">
      <c r="A147" t="s">
        <v>151</v>
      </c>
      <c r="B147" t="s">
        <v>353</v>
      </c>
    </row>
    <row r="148" spans="1:2" x14ac:dyDescent="0.3">
      <c r="A148" t="s">
        <v>152</v>
      </c>
      <c r="B148" t="s">
        <v>354</v>
      </c>
    </row>
    <row r="149" spans="1:2" x14ac:dyDescent="0.3">
      <c r="A149" t="s">
        <v>153</v>
      </c>
      <c r="B149" t="s">
        <v>355</v>
      </c>
    </row>
    <row r="150" spans="1:2" x14ac:dyDescent="0.3">
      <c r="A150" t="s">
        <v>154</v>
      </c>
      <c r="B150" t="s">
        <v>356</v>
      </c>
    </row>
    <row r="151" spans="1:2" x14ac:dyDescent="0.3">
      <c r="A151" t="s">
        <v>155</v>
      </c>
      <c r="B151" t="s">
        <v>357</v>
      </c>
    </row>
    <row r="152" spans="1:2" x14ac:dyDescent="0.3">
      <c r="A152" t="s">
        <v>156</v>
      </c>
      <c r="B152" t="s">
        <v>358</v>
      </c>
    </row>
    <row r="153" spans="1:2" x14ac:dyDescent="0.3">
      <c r="A153" t="s">
        <v>157</v>
      </c>
      <c r="B153" t="s">
        <v>359</v>
      </c>
    </row>
    <row r="154" spans="1:2" x14ac:dyDescent="0.3">
      <c r="A154" t="s">
        <v>158</v>
      </c>
      <c r="B154" t="s">
        <v>360</v>
      </c>
    </row>
    <row r="155" spans="1:2" x14ac:dyDescent="0.3">
      <c r="A155" t="s">
        <v>159</v>
      </c>
      <c r="B155" t="s">
        <v>361</v>
      </c>
    </row>
    <row r="156" spans="1:2" x14ac:dyDescent="0.3">
      <c r="A156" t="s">
        <v>160</v>
      </c>
      <c r="B156" t="s">
        <v>362</v>
      </c>
    </row>
    <row r="157" spans="1:2" x14ac:dyDescent="0.3">
      <c r="A157" t="s">
        <v>161</v>
      </c>
      <c r="B157" t="s">
        <v>363</v>
      </c>
    </row>
    <row r="158" spans="1:2" x14ac:dyDescent="0.3">
      <c r="A158" t="s">
        <v>162</v>
      </c>
      <c r="B158" t="s">
        <v>364</v>
      </c>
    </row>
    <row r="159" spans="1:2" x14ac:dyDescent="0.3">
      <c r="A159" t="s">
        <v>163</v>
      </c>
      <c r="B159" t="s">
        <v>365</v>
      </c>
    </row>
    <row r="160" spans="1:2" x14ac:dyDescent="0.3">
      <c r="A160" t="s">
        <v>164</v>
      </c>
      <c r="B160" t="s">
        <v>366</v>
      </c>
    </row>
    <row r="161" spans="1:2" x14ac:dyDescent="0.3">
      <c r="A161" t="s">
        <v>165</v>
      </c>
      <c r="B161" t="s">
        <v>367</v>
      </c>
    </row>
    <row r="162" spans="1:2" x14ac:dyDescent="0.3">
      <c r="A162" t="s">
        <v>166</v>
      </c>
      <c r="B162" t="s">
        <v>368</v>
      </c>
    </row>
    <row r="163" spans="1:2" x14ac:dyDescent="0.3">
      <c r="A163" t="s">
        <v>167</v>
      </c>
      <c r="B163" t="s">
        <v>369</v>
      </c>
    </row>
    <row r="164" spans="1:2" x14ac:dyDescent="0.3">
      <c r="A164" t="s">
        <v>168</v>
      </c>
      <c r="B164" t="s">
        <v>370</v>
      </c>
    </row>
    <row r="165" spans="1:2" x14ac:dyDescent="0.3">
      <c r="A165" t="s">
        <v>169</v>
      </c>
      <c r="B165" t="s">
        <v>371</v>
      </c>
    </row>
    <row r="166" spans="1:2" x14ac:dyDescent="0.3">
      <c r="A166" t="s">
        <v>170</v>
      </c>
      <c r="B166" t="s">
        <v>372</v>
      </c>
    </row>
    <row r="167" spans="1:2" x14ac:dyDescent="0.3">
      <c r="A167" t="s">
        <v>171</v>
      </c>
      <c r="B167" t="s">
        <v>373</v>
      </c>
    </row>
    <row r="168" spans="1:2" x14ac:dyDescent="0.3">
      <c r="A168" t="s">
        <v>172</v>
      </c>
      <c r="B168" t="s">
        <v>374</v>
      </c>
    </row>
    <row r="169" spans="1:2" x14ac:dyDescent="0.3">
      <c r="A169" t="s">
        <v>173</v>
      </c>
      <c r="B169" t="s">
        <v>375</v>
      </c>
    </row>
    <row r="170" spans="1:2" x14ac:dyDescent="0.3">
      <c r="A170" t="s">
        <v>174</v>
      </c>
      <c r="B170" t="s">
        <v>376</v>
      </c>
    </row>
    <row r="171" spans="1:2" x14ac:dyDescent="0.3">
      <c r="A171" t="s">
        <v>175</v>
      </c>
      <c r="B171" t="s">
        <v>377</v>
      </c>
    </row>
    <row r="172" spans="1:2" x14ac:dyDescent="0.3">
      <c r="A172" t="s">
        <v>176</v>
      </c>
      <c r="B172" t="s">
        <v>378</v>
      </c>
    </row>
    <row r="173" spans="1:2" x14ac:dyDescent="0.3">
      <c r="A173" t="s">
        <v>177</v>
      </c>
      <c r="B173" t="s">
        <v>379</v>
      </c>
    </row>
    <row r="174" spans="1:2" x14ac:dyDescent="0.3">
      <c r="A174" t="s">
        <v>178</v>
      </c>
      <c r="B174" t="s">
        <v>380</v>
      </c>
    </row>
    <row r="175" spans="1:2" x14ac:dyDescent="0.3">
      <c r="A175" t="s">
        <v>179</v>
      </c>
      <c r="B175" t="s">
        <v>381</v>
      </c>
    </row>
    <row r="176" spans="1:2" x14ac:dyDescent="0.3">
      <c r="A176" t="s">
        <v>180</v>
      </c>
      <c r="B176" t="s">
        <v>382</v>
      </c>
    </row>
    <row r="177" spans="1:2" x14ac:dyDescent="0.3">
      <c r="A177" t="s">
        <v>181</v>
      </c>
      <c r="B177" t="s">
        <v>383</v>
      </c>
    </row>
    <row r="178" spans="1:2" x14ac:dyDescent="0.3">
      <c r="A178" t="s">
        <v>182</v>
      </c>
      <c r="B178" t="s">
        <v>384</v>
      </c>
    </row>
    <row r="179" spans="1:2" x14ac:dyDescent="0.3">
      <c r="A179" t="s">
        <v>183</v>
      </c>
      <c r="B179" t="s">
        <v>385</v>
      </c>
    </row>
    <row r="180" spans="1:2" x14ac:dyDescent="0.3">
      <c r="A180" t="s">
        <v>184</v>
      </c>
      <c r="B180" t="s">
        <v>386</v>
      </c>
    </row>
    <row r="181" spans="1:2" x14ac:dyDescent="0.3">
      <c r="A181" t="s">
        <v>185</v>
      </c>
      <c r="B181" t="s">
        <v>387</v>
      </c>
    </row>
    <row r="182" spans="1:2" x14ac:dyDescent="0.3">
      <c r="A182" t="s">
        <v>186</v>
      </c>
      <c r="B182" t="s">
        <v>388</v>
      </c>
    </row>
    <row r="183" spans="1:2" x14ac:dyDescent="0.3">
      <c r="A183" t="s">
        <v>187</v>
      </c>
      <c r="B183" t="s">
        <v>389</v>
      </c>
    </row>
    <row r="184" spans="1:2" x14ac:dyDescent="0.3">
      <c r="A184" t="s">
        <v>188</v>
      </c>
      <c r="B184" t="s">
        <v>390</v>
      </c>
    </row>
    <row r="185" spans="1:2" x14ac:dyDescent="0.3">
      <c r="A185" t="s">
        <v>189</v>
      </c>
      <c r="B185" t="s">
        <v>391</v>
      </c>
    </row>
    <row r="186" spans="1:2" x14ac:dyDescent="0.3">
      <c r="A186" t="s">
        <v>190</v>
      </c>
      <c r="B186" t="s">
        <v>392</v>
      </c>
    </row>
    <row r="187" spans="1:2" x14ac:dyDescent="0.3">
      <c r="A187" t="s">
        <v>191</v>
      </c>
      <c r="B187" t="s">
        <v>393</v>
      </c>
    </row>
    <row r="188" spans="1:2" x14ac:dyDescent="0.3">
      <c r="A188" t="s">
        <v>192</v>
      </c>
      <c r="B188" t="s">
        <v>394</v>
      </c>
    </row>
    <row r="189" spans="1:2" x14ac:dyDescent="0.3">
      <c r="A189" t="s">
        <v>193</v>
      </c>
      <c r="B189" t="s">
        <v>395</v>
      </c>
    </row>
    <row r="190" spans="1:2" x14ac:dyDescent="0.3">
      <c r="A190" t="s">
        <v>194</v>
      </c>
      <c r="B190" t="s">
        <v>396</v>
      </c>
    </row>
    <row r="191" spans="1:2" x14ac:dyDescent="0.3">
      <c r="A191" t="s">
        <v>195</v>
      </c>
      <c r="B191" t="s">
        <v>397</v>
      </c>
    </row>
    <row r="192" spans="1:2" x14ac:dyDescent="0.3">
      <c r="A192" t="s">
        <v>196</v>
      </c>
      <c r="B192" t="s">
        <v>398</v>
      </c>
    </row>
    <row r="193" spans="1:2" x14ac:dyDescent="0.3">
      <c r="A193" t="s">
        <v>197</v>
      </c>
      <c r="B193" t="s">
        <v>399</v>
      </c>
    </row>
    <row r="194" spans="1:2" x14ac:dyDescent="0.3">
      <c r="A194" t="s">
        <v>198</v>
      </c>
      <c r="B194" t="s">
        <v>400</v>
      </c>
    </row>
    <row r="195" spans="1:2" x14ac:dyDescent="0.3">
      <c r="A195" t="s">
        <v>199</v>
      </c>
      <c r="B195" t="s">
        <v>401</v>
      </c>
    </row>
    <row r="196" spans="1:2" x14ac:dyDescent="0.3">
      <c r="A196" t="s">
        <v>200</v>
      </c>
      <c r="B196" t="s">
        <v>402</v>
      </c>
    </row>
    <row r="197" spans="1:2" x14ac:dyDescent="0.3">
      <c r="A197" t="s">
        <v>201</v>
      </c>
      <c r="B197" t="s">
        <v>403</v>
      </c>
    </row>
    <row r="198" spans="1:2" x14ac:dyDescent="0.3">
      <c r="A198" t="s">
        <v>202</v>
      </c>
      <c r="B198" t="s">
        <v>404</v>
      </c>
    </row>
    <row r="199" spans="1:2" x14ac:dyDescent="0.3">
      <c r="A199" t="s">
        <v>203</v>
      </c>
      <c r="B199" t="s">
        <v>405</v>
      </c>
    </row>
    <row r="200" spans="1:2" x14ac:dyDescent="0.3">
      <c r="A200" t="s">
        <v>204</v>
      </c>
      <c r="B200" t="s">
        <v>406</v>
      </c>
    </row>
    <row r="201" spans="1:2" x14ac:dyDescent="0.3">
      <c r="A201" t="s">
        <v>205</v>
      </c>
      <c r="B201" t="s">
        <v>407</v>
      </c>
    </row>
    <row r="202" spans="1:2" x14ac:dyDescent="0.3">
      <c r="A202" t="s">
        <v>206</v>
      </c>
      <c r="B202" t="s">
        <v>408</v>
      </c>
    </row>
    <row r="203" spans="1:2" x14ac:dyDescent="0.3">
      <c r="A203" t="s">
        <v>207</v>
      </c>
      <c r="B203" t="s">
        <v>409</v>
      </c>
    </row>
    <row r="204" spans="1:2" x14ac:dyDescent="0.3">
      <c r="A204" t="s">
        <v>208</v>
      </c>
      <c r="B204" t="s">
        <v>410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FA46-0F20-4AD9-B204-E145E61655BA}">
  <dimension ref="B2:W21"/>
  <sheetViews>
    <sheetView topLeftCell="A2" workbookViewId="0">
      <selection activeCell="AB12" sqref="AB12"/>
    </sheetView>
  </sheetViews>
  <sheetFormatPr defaultRowHeight="14.4" x14ac:dyDescent="0.3"/>
  <cols>
    <col min="1" max="1" width="7.21875" customWidth="1"/>
    <col min="2" max="15" width="8.88671875" hidden="1" customWidth="1"/>
    <col min="16" max="16" width="15.6640625" customWidth="1"/>
    <col min="17" max="17" width="17.77734375" customWidth="1"/>
    <col min="20" max="20" width="24.109375" customWidth="1"/>
    <col min="21" max="21" width="12.109375" customWidth="1"/>
    <col min="23" max="23" width="19.88671875" customWidth="1"/>
  </cols>
  <sheetData>
    <row r="2" spans="16:23" ht="21" x14ac:dyDescent="0.4">
      <c r="Q2" s="43" t="s">
        <v>468</v>
      </c>
      <c r="R2" s="24"/>
      <c r="S2" s="24"/>
      <c r="T2" s="24"/>
      <c r="U2" s="24"/>
    </row>
    <row r="4" spans="16:23" x14ac:dyDescent="0.3">
      <c r="P4" s="4" t="s">
        <v>447</v>
      </c>
      <c r="Q4" s="6" t="s">
        <v>448</v>
      </c>
      <c r="S4" s="4" t="s">
        <v>447</v>
      </c>
      <c r="T4" t="s">
        <v>461</v>
      </c>
      <c r="V4" s="4" t="s">
        <v>425</v>
      </c>
      <c r="W4" t="s">
        <v>462</v>
      </c>
    </row>
    <row r="5" spans="16:23" x14ac:dyDescent="0.3">
      <c r="P5" s="5" t="s">
        <v>440</v>
      </c>
      <c r="Q5" s="6">
        <v>80300</v>
      </c>
      <c r="S5" s="5" t="s">
        <v>450</v>
      </c>
      <c r="T5" s="6">
        <v>18300</v>
      </c>
      <c r="V5" s="5" t="s">
        <v>439</v>
      </c>
      <c r="W5">
        <v>81</v>
      </c>
    </row>
    <row r="6" spans="16:23" x14ac:dyDescent="0.3">
      <c r="P6" s="5" t="s">
        <v>441</v>
      </c>
      <c r="Q6" s="6">
        <v>112200</v>
      </c>
      <c r="S6" s="5" t="s">
        <v>451</v>
      </c>
      <c r="T6" s="6">
        <v>50200</v>
      </c>
      <c r="V6" s="5" t="s">
        <v>426</v>
      </c>
      <c r="W6">
        <v>59</v>
      </c>
    </row>
    <row r="7" spans="16:23" x14ac:dyDescent="0.3">
      <c r="P7" s="5" t="s">
        <v>442</v>
      </c>
      <c r="Q7" s="6">
        <v>66200</v>
      </c>
      <c r="S7" s="5" t="s">
        <v>442</v>
      </c>
      <c r="T7" s="6">
        <v>4200</v>
      </c>
      <c r="V7" s="5" t="s">
        <v>428</v>
      </c>
      <c r="W7">
        <v>237</v>
      </c>
    </row>
    <row r="8" spans="16:23" x14ac:dyDescent="0.3">
      <c r="P8" s="5" t="s">
        <v>443</v>
      </c>
      <c r="Q8" s="6">
        <v>89300</v>
      </c>
      <c r="S8" s="5" t="s">
        <v>452</v>
      </c>
      <c r="T8" s="6">
        <v>27300</v>
      </c>
      <c r="V8" s="5" t="s">
        <v>438</v>
      </c>
      <c r="W8">
        <v>377</v>
      </c>
    </row>
    <row r="9" spans="16:23" x14ac:dyDescent="0.3">
      <c r="P9" s="5" t="s">
        <v>444</v>
      </c>
      <c r="Q9" s="6">
        <v>96200</v>
      </c>
      <c r="S9" s="5" t="s">
        <v>453</v>
      </c>
      <c r="T9" s="6">
        <v>34200</v>
      </c>
    </row>
    <row r="10" spans="16:23" x14ac:dyDescent="0.3">
      <c r="P10" s="5" t="s">
        <v>445</v>
      </c>
      <c r="Q10" s="6">
        <v>69600</v>
      </c>
      <c r="S10" s="5" t="s">
        <v>454</v>
      </c>
      <c r="T10" s="6">
        <v>7600</v>
      </c>
      <c r="V10" s="4" t="s">
        <v>446</v>
      </c>
      <c r="W10" s="6" t="s">
        <v>448</v>
      </c>
    </row>
    <row r="11" spans="16:23" x14ac:dyDescent="0.3">
      <c r="P11" s="5" t="s">
        <v>438</v>
      </c>
      <c r="Q11" s="6">
        <v>513800</v>
      </c>
      <c r="S11" s="5" t="s">
        <v>438</v>
      </c>
      <c r="T11" s="6">
        <v>141800</v>
      </c>
      <c r="V11" s="5" t="s">
        <v>426</v>
      </c>
      <c r="W11" s="6">
        <v>109100</v>
      </c>
    </row>
    <row r="12" spans="16:23" x14ac:dyDescent="0.3">
      <c r="V12" s="5" t="s">
        <v>427</v>
      </c>
      <c r="W12" s="6">
        <v>146700</v>
      </c>
    </row>
    <row r="13" spans="16:23" x14ac:dyDescent="0.3">
      <c r="V13" s="5" t="s">
        <v>428</v>
      </c>
      <c r="W13" s="6">
        <v>207000</v>
      </c>
    </row>
    <row r="14" spans="16:23" x14ac:dyDescent="0.3">
      <c r="P14" s="4" t="s">
        <v>446</v>
      </c>
      <c r="Q14" t="s">
        <v>464</v>
      </c>
      <c r="S14" s="4" t="s">
        <v>447</v>
      </c>
      <c r="T14" t="s">
        <v>463</v>
      </c>
      <c r="V14" s="5" t="s">
        <v>429</v>
      </c>
      <c r="W14" s="6">
        <v>51000</v>
      </c>
    </row>
    <row r="15" spans="16:23" x14ac:dyDescent="0.3">
      <c r="P15" s="5" t="s">
        <v>426</v>
      </c>
      <c r="Q15">
        <v>62</v>
      </c>
      <c r="S15" s="5" t="s">
        <v>440</v>
      </c>
      <c r="T15">
        <v>56</v>
      </c>
      <c r="V15" s="5" t="s">
        <v>438</v>
      </c>
      <c r="W15" s="6">
        <v>513800</v>
      </c>
    </row>
    <row r="16" spans="16:23" x14ac:dyDescent="0.3">
      <c r="P16" s="5" t="s">
        <v>427</v>
      </c>
      <c r="Q16">
        <v>26</v>
      </c>
      <c r="S16" s="5" t="s">
        <v>441</v>
      </c>
      <c r="T16">
        <v>73</v>
      </c>
    </row>
    <row r="17" spans="16:23" x14ac:dyDescent="0.3">
      <c r="P17" s="5" t="s">
        <v>428</v>
      </c>
      <c r="Q17">
        <v>100</v>
      </c>
      <c r="S17" s="5" t="s">
        <v>442</v>
      </c>
      <c r="T17">
        <v>55</v>
      </c>
      <c r="V17" s="4" t="s">
        <v>465</v>
      </c>
      <c r="W17" s="6" t="s">
        <v>448</v>
      </c>
    </row>
    <row r="18" spans="16:23" x14ac:dyDescent="0.3">
      <c r="P18" s="5" t="s">
        <v>429</v>
      </c>
      <c r="Q18">
        <v>13</v>
      </c>
      <c r="S18" s="5" t="s">
        <v>443</v>
      </c>
      <c r="T18">
        <v>64</v>
      </c>
      <c r="V18" s="5" t="s">
        <v>7</v>
      </c>
      <c r="W18" s="6">
        <v>438300</v>
      </c>
    </row>
    <row r="19" spans="16:23" x14ac:dyDescent="0.3">
      <c r="P19" s="5" t="s">
        <v>438</v>
      </c>
      <c r="Q19">
        <v>201</v>
      </c>
      <c r="S19" s="5" t="s">
        <v>444</v>
      </c>
      <c r="T19">
        <v>74</v>
      </c>
      <c r="V19" s="5" t="s">
        <v>467</v>
      </c>
      <c r="W19" s="6">
        <v>75500</v>
      </c>
    </row>
    <row r="20" spans="16:23" x14ac:dyDescent="0.3">
      <c r="S20" s="5" t="s">
        <v>445</v>
      </c>
      <c r="T20">
        <v>55</v>
      </c>
      <c r="V20" s="5" t="s">
        <v>438</v>
      </c>
      <c r="W20" s="6">
        <v>513800</v>
      </c>
    </row>
    <row r="21" spans="16:23" x14ac:dyDescent="0.3">
      <c r="S21" s="5" t="s">
        <v>438</v>
      </c>
      <c r="T21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Financial_Data</vt:lpstr>
      <vt:lpstr>Charts_Dashboard</vt:lpstr>
      <vt:lpstr>Gym_data</vt:lpstr>
      <vt:lpstr>Member_Summary</vt:lpstr>
      <vt:lpstr>Member_Master</vt:lpstr>
      <vt:lpstr>Pivot_Data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Barun Sharma</dc:creator>
  <cp:lastModifiedBy>Barun Sharma</cp:lastModifiedBy>
  <cp:lastPrinted>2026-04-24T09:08:57Z</cp:lastPrinted>
  <dcterms:created xsi:type="dcterms:W3CDTF">2026-02-27T11:24:54Z</dcterms:created>
  <dcterms:modified xsi:type="dcterms:W3CDTF">2026-05-01T08:40:20Z</dcterms:modified>
</cp:coreProperties>
</file>